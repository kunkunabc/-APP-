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00" tabRatio="767" firstSheet="2" activeTab="13"/>
  </bookViews>
  <sheets>
    <sheet name="双周分资源位" sheetId="3" r:id="rId1"/>
    <sheet name="双周分品类" sheetId="4" r:id="rId2"/>
    <sheet name="家庭教育" sheetId="5" r:id="rId3"/>
    <sheet name="闺蜜机" sheetId="19" r:id="rId4"/>
    <sheet name="智能屏" sheetId="6" r:id="rId5"/>
    <sheet name="无屏音箱" sheetId="18" r:id="rId6"/>
    <sheet name="健身镜" sheetId="7" r:id="rId7"/>
    <sheet name="IPC" sheetId="24" r:id="rId8"/>
    <sheet name="平板型号" sheetId="8" r:id="rId9"/>
    <sheet name="平板电脑型号" sheetId="21" r:id="rId10"/>
    <sheet name="有屏型号" sheetId="9" r:id="rId11"/>
    <sheet name="无屏型号" sheetId="10" r:id="rId12"/>
    <sheet name="健身镜型号" sheetId="20" r:id="rId13"/>
    <sheet name="IPC型号" sheetId="25" r:id="rId14"/>
    <sheet name="自由屏分链接" sheetId="13" state="hidden" r:id="rId15"/>
  </sheets>
  <definedNames>
    <definedName name="_xlnm._FilterDatabase" localSheetId="2" hidden="1">家庭教育!#REF!</definedName>
    <definedName name="_xlnm._FilterDatabase" localSheetId="1" hidden="1">双周分品类!#REF!</definedName>
    <definedName name="_xlnm._FilterDatabase" localSheetId="0" hidden="1">双周分资源位!#REF!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<sst xmlns="http://schemas.openxmlformats.org/spreadsheetml/2006/main" count="628" uniqueCount="84">
  <si>
    <t>日期</t>
  </si>
  <si>
    <t>类型</t>
  </si>
  <si>
    <t>展现量</t>
  </si>
  <si>
    <t>点击量</t>
  </si>
  <si>
    <t>花费</t>
  </si>
  <si>
    <t>成交量</t>
  </si>
  <si>
    <t>成交额</t>
  </si>
  <si>
    <t>加购量</t>
  </si>
  <si>
    <t>ROI</t>
  </si>
  <si>
    <t>点击率</t>
  </si>
  <si>
    <t>点击转化率</t>
  </si>
  <si>
    <t>CPC</t>
  </si>
  <si>
    <t>加购成本</t>
  </si>
  <si>
    <t>消耗占比</t>
  </si>
  <si>
    <t>成交占比</t>
  </si>
  <si>
    <t>消耗环比</t>
  </si>
  <si>
    <t>ROI环比</t>
  </si>
  <si>
    <t>25年10月3日-10月9日</t>
  </si>
  <si>
    <t>关键词-品牌专区</t>
  </si>
  <si>
    <t>关键词类</t>
  </si>
  <si>
    <t>推荐位+展示位</t>
  </si>
  <si>
    <t>短视频</t>
  </si>
  <si>
    <t>剧星UD</t>
  </si>
  <si>
    <t>核桃林汇川UD</t>
  </si>
  <si>
    <t>智汇投</t>
  </si>
  <si>
    <t>全站推广</t>
  </si>
  <si>
    <t>万相台</t>
  </si>
  <si>
    <t>超级直播</t>
  </si>
  <si>
    <t>UDS</t>
  </si>
  <si>
    <t>汇川UD</t>
  </si>
  <si>
    <t>红猫计划</t>
  </si>
  <si>
    <t>合计</t>
  </si>
  <si>
    <t>合计环比</t>
  </si>
  <si>
    <t>-</t>
  </si>
  <si>
    <t>订单出库金额</t>
  </si>
  <si>
    <t>费率</t>
  </si>
  <si>
    <t>健身镜</t>
  </si>
  <si>
    <t>家庭教育</t>
  </si>
  <si>
    <t>闺蜜机</t>
  </si>
  <si>
    <t>智能屏</t>
  </si>
  <si>
    <t>无屏音箱</t>
  </si>
  <si>
    <t>IPC(摄像机)</t>
  </si>
  <si>
    <t>品销宝</t>
  </si>
  <si>
    <t>直通车</t>
  </si>
  <si>
    <t>引力魔方</t>
  </si>
  <si>
    <t>剧星朋友圈</t>
  </si>
  <si>
    <t>型号</t>
  </si>
  <si>
    <t>小度学习机K30</t>
  </si>
  <si>
    <t>学习平板Z20</t>
  </si>
  <si>
    <t>学习机Z30主链接</t>
  </si>
  <si>
    <t>学习平板A20</t>
  </si>
  <si>
    <t>小度学习机_1元预约</t>
  </si>
  <si>
    <t>小度闺蜜机长续航版</t>
  </si>
  <si>
    <t>添添闺蜜机长续航版</t>
  </si>
  <si>
    <t>添添闺蜜机Pro4KMax版</t>
  </si>
  <si>
    <t>小度闺蜜机Pro4KMax亲子版</t>
  </si>
  <si>
    <t>添添闺蜜机_1元预约</t>
  </si>
  <si>
    <t>小度闺蜜机_1元预约</t>
  </si>
  <si>
    <t>智能屏X9</t>
  </si>
  <si>
    <t>智能屏X9Pro</t>
  </si>
  <si>
    <t>智能屏1S Plus</t>
  </si>
  <si>
    <t>智能屏X10 二代</t>
  </si>
  <si>
    <t>智能屏Mini</t>
  </si>
  <si>
    <t>智能健康屏</t>
  </si>
  <si>
    <t>小度智能屏X10 Ultra</t>
  </si>
  <si>
    <t>小度智能屏_1元预约</t>
  </si>
  <si>
    <t>小度智能音箱旗舰版</t>
  </si>
  <si>
    <t>小度智能音箱Mate</t>
  </si>
  <si>
    <t>健身镜M30</t>
  </si>
  <si>
    <t>小度健身镜_1元预约</t>
  </si>
  <si>
    <t>小度智能摄像机C800 视频通话版</t>
  </si>
  <si>
    <t>小度智能摄像机C1200三摄版</t>
  </si>
  <si>
    <t>2月6日-2月12日</t>
  </si>
  <si>
    <t>音箱</t>
  </si>
  <si>
    <t>平板</t>
  </si>
  <si>
    <t>新店</t>
  </si>
  <si>
    <t>2月13日-2月19日</t>
  </si>
  <si>
    <t>环比</t>
  </si>
  <si>
    <t>2月20日-2月26日</t>
  </si>
  <si>
    <t>2月27日-3月5日</t>
  </si>
  <si>
    <t>3月6日-3月12日</t>
  </si>
  <si>
    <t>3月13日-3月19日</t>
  </si>
  <si>
    <t>3月20日-3月26日</t>
  </si>
  <si>
    <t>3月27日-4月2日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</si>
</sst>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0.0%"/>
    <numFmt numFmtId="179" formatCode="#,##0.0_ "/>
    <numFmt numFmtId="180" formatCode="_ * #,##0_ ;_ * \-#,##0_ ;_ * &quot;-&quot;??_ ;_ @_ "/>
  </numFmts>
  <fonts count="28">
    <font>
      <sz val="11"/>
      <color theme="1"/>
      <name val="宋体"/>
      <charset val="134"/>
      <scheme val="minor"/>
    </font>
    <font>
      <b/>
      <sz val="10"/>
      <color theme="1"/>
      <name val="PingFang SC Regular"/>
      <charset val="134"/>
    </font>
    <font>
      <sz val="10"/>
      <color theme="1"/>
      <name val="微软雅黑"/>
      <charset val="134"/>
    </font>
    <font>
      <sz val="12"/>
      <color theme="1"/>
      <name val="PingFang SC Regular"/>
      <charset val="134"/>
    </font>
    <font>
      <sz val="10"/>
      <color theme="1"/>
      <name val="PingFang SC Regular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1" fillId="0" borderId="1" xfId="3" applyFont="1" applyBorder="1" applyAlignment="1">
      <alignment vertical="center"/>
    </xf>
    <xf numFmtId="177" fontId="4" fillId="0" borderId="1" xfId="0" applyNumberFormat="1" applyFont="1" applyBorder="1" applyAlignment="1">
      <alignment vertical="center"/>
    </xf>
    <xf numFmtId="178" fontId="4" fillId="0" borderId="1" xfId="3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178" fontId="1" fillId="0" borderId="1" xfId="3" applyNumberFormat="1" applyFont="1" applyBorder="1" applyAlignment="1">
      <alignment vertical="center"/>
    </xf>
    <xf numFmtId="179" fontId="4" fillId="0" borderId="1" xfId="0" applyNumberFormat="1" applyFont="1" applyBorder="1" applyAlignment="1">
      <alignment vertical="center"/>
    </xf>
    <xf numFmtId="9" fontId="4" fillId="0" borderId="1" xfId="3" applyFont="1" applyBorder="1" applyAlignment="1">
      <alignment vertical="center"/>
    </xf>
    <xf numFmtId="0" fontId="0" fillId="0" borderId="1" xfId="0" applyBorder="1"/>
    <xf numFmtId="179" fontId="1" fillId="0" borderId="1" xfId="0" applyNumberFormat="1" applyFont="1" applyBorder="1" applyAlignment="1">
      <alignment vertical="center"/>
    </xf>
    <xf numFmtId="9" fontId="0" fillId="0" borderId="1" xfId="3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7" fillId="0" borderId="1" xfId="0" applyNumberFormat="1" applyFont="1" applyBorder="1"/>
    <xf numFmtId="0" fontId="0" fillId="0" borderId="0" xfId="0" applyNumberFormat="1"/>
    <xf numFmtId="9" fontId="0" fillId="0" borderId="0" xfId="0" applyNumberFormat="1"/>
    <xf numFmtId="43" fontId="6" fillId="2" borderId="1" xfId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7" fillId="0" borderId="0" xfId="0" applyFont="1"/>
    <xf numFmtId="180" fontId="7" fillId="0" borderId="1" xfId="0" applyNumberFormat="1" applyFont="1" applyBorder="1"/>
    <xf numFmtId="176" fontId="7" fillId="0" borderId="1" xfId="0" applyNumberFormat="1" applyFont="1" applyBorder="1"/>
    <xf numFmtId="9" fontId="7" fillId="0" borderId="1" xfId="0" applyNumberFormat="1" applyFont="1" applyBorder="1"/>
    <xf numFmtId="177" fontId="7" fillId="0" borderId="1" xfId="0" applyNumberFormat="1" applyFont="1" applyBorder="1"/>
    <xf numFmtId="178" fontId="7" fillId="0" borderId="1" xfId="0" applyNumberFormat="1" applyFont="1" applyBorder="1"/>
    <xf numFmtId="179" fontId="7" fillId="0" borderId="1" xfId="0" applyNumberFormat="1" applyFont="1" applyBorder="1"/>
    <xf numFmtId="180" fontId="7" fillId="0" borderId="0" xfId="1" applyNumberFormat="1" applyFont="1" applyAlignment="1"/>
    <xf numFmtId="43" fontId="7" fillId="0" borderId="0" xfId="1" applyFont="1" applyAlignment="1"/>
    <xf numFmtId="180" fontId="7" fillId="0" borderId="1" xfId="1" applyNumberFormat="1" applyFont="1" applyBorder="1" applyAlignment="1"/>
    <xf numFmtId="176" fontId="7" fillId="0" borderId="1" xfId="1" applyNumberFormat="1" applyFont="1" applyBorder="1" applyAlignment="1"/>
    <xf numFmtId="9" fontId="7" fillId="0" borderId="1" xfId="1" applyNumberFormat="1" applyFont="1" applyBorder="1" applyAlignment="1"/>
    <xf numFmtId="0" fontId="7" fillId="0" borderId="1" xfId="0" applyFont="1" applyBorder="1"/>
    <xf numFmtId="176" fontId="0" fillId="0" borderId="0" xfId="0" applyNumberFormat="1"/>
    <xf numFmtId="43" fontId="7" fillId="0" borderId="1" xfId="0" applyNumberFormat="1" applyFont="1" applyBorder="1"/>
    <xf numFmtId="178" fontId="7" fillId="0" borderId="0" xfId="3" applyNumberFormat="1" applyFont="1" applyAlignment="1"/>
    <xf numFmtId="178" fontId="6" fillId="2" borderId="1" xfId="3" applyNumberFormat="1" applyFont="1" applyFill="1" applyBorder="1" applyAlignment="1">
      <alignment horizontal="center" vertical="center"/>
    </xf>
    <xf numFmtId="178" fontId="7" fillId="0" borderId="1" xfId="3" applyNumberFormat="1" applyFont="1" applyBorder="1" applyAlignment="1"/>
    <xf numFmtId="9" fontId="7" fillId="0" borderId="1" xfId="3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C00"/>
      <color rgb="0000FA00"/>
      <color rgb="0000FD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selection activeCell="D27" sqref="D27"/>
    </sheetView>
  </sheetViews>
  <sheetFormatPr defaultColWidth="11" defaultRowHeight="16.8"/>
  <cols>
    <col min="1" max="1" width="23.625" style="32" customWidth="1"/>
    <col min="2" max="2" width="18.3365384615385" style="32" customWidth="1"/>
    <col min="3" max="3" width="16" style="32" customWidth="1"/>
    <col min="4" max="8" width="14" style="32" customWidth="1"/>
    <col min="9" max="10" width="8.5" style="32" customWidth="1"/>
    <col min="11" max="11" width="11.1634615384615" style="32" customWidth="1"/>
    <col min="12" max="12" width="8.5" style="32" customWidth="1"/>
    <col min="13" max="13" width="9.33653846153846" style="32" customWidth="1"/>
    <col min="14" max="14" width="11.6634615384615" style="32" customWidth="1"/>
    <col min="15" max="17" width="9.33653846153846" style="32" customWidth="1"/>
    <col min="18" max="16384" width="11" style="32"/>
  </cols>
  <sheetData>
    <row r="1" spans="1:17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18</v>
      </c>
      <c r="C2" s="34">
        <v>73284</v>
      </c>
      <c r="D2" s="34">
        <v>13374</v>
      </c>
      <c r="E2" s="34">
        <v>27937</v>
      </c>
      <c r="F2" s="34">
        <v>239</v>
      </c>
      <c r="G2" s="34">
        <v>279691.11</v>
      </c>
      <c r="H2" s="34">
        <v>945</v>
      </c>
      <c r="I2" s="36">
        <v>10.0114940759566</v>
      </c>
      <c r="J2" s="37">
        <v>0.182495496970689</v>
      </c>
      <c r="K2" s="37">
        <v>0.0178704949902796</v>
      </c>
      <c r="L2" s="36">
        <v>2.088903843278</v>
      </c>
      <c r="M2" s="38">
        <v>29.562962962963</v>
      </c>
      <c r="N2" s="35">
        <v>0.0378881379478121</v>
      </c>
      <c r="O2" s="35">
        <v>0.043996095042344</v>
      </c>
      <c r="P2" s="35">
        <v>0.192558727231592</v>
      </c>
      <c r="Q2" s="35">
        <v>0.176184388338746</v>
      </c>
    </row>
    <row r="3" spans="1:17">
      <c r="A3" s="24" t="s">
        <v>17</v>
      </c>
      <c r="B3" s="24" t="s">
        <v>19</v>
      </c>
      <c r="C3" s="44">
        <v>2084507</v>
      </c>
      <c r="D3" s="34">
        <v>109685</v>
      </c>
      <c r="E3" s="34">
        <v>270394.38</v>
      </c>
      <c r="F3" s="34">
        <v>2389</v>
      </c>
      <c r="G3" s="34">
        <v>2014419.47</v>
      </c>
      <c r="H3" s="34">
        <v>10813</v>
      </c>
      <c r="I3" s="36">
        <v>7.44993098599165</v>
      </c>
      <c r="J3" s="37">
        <v>1.49671142404891</v>
      </c>
      <c r="K3" s="37">
        <v>0.0217805534029266</v>
      </c>
      <c r="L3" s="36">
        <v>2.4651901353877</v>
      </c>
      <c r="M3" s="38">
        <v>25.006416350689</v>
      </c>
      <c r="N3" s="35">
        <v>0.366708650526295</v>
      </c>
      <c r="O3" s="35">
        <v>0.316873104966648</v>
      </c>
      <c r="P3" s="35">
        <v>0.320783060878716</v>
      </c>
      <c r="Q3" s="35">
        <v>0.279984625000409</v>
      </c>
    </row>
    <row r="4" spans="1:17">
      <c r="A4" s="24" t="s">
        <v>17</v>
      </c>
      <c r="B4" s="24" t="s">
        <v>20</v>
      </c>
      <c r="C4" s="34">
        <v>2884450</v>
      </c>
      <c r="D4" s="34">
        <v>79558</v>
      </c>
      <c r="E4" s="34">
        <v>212500.08</v>
      </c>
      <c r="F4" s="34">
        <v>1415</v>
      </c>
      <c r="G4" s="34">
        <v>1670255.29</v>
      </c>
      <c r="H4" s="34">
        <v>6968</v>
      </c>
      <c r="I4" s="36">
        <v>7.86002193505057</v>
      </c>
      <c r="J4" s="37">
        <v>0.0275816880167796</v>
      </c>
      <c r="K4" s="37">
        <v>0.0177857663591342</v>
      </c>
      <c r="L4" s="36">
        <v>2.67100832097338</v>
      </c>
      <c r="M4" s="38">
        <v>30.4965671641791</v>
      </c>
      <c r="N4" s="35">
        <v>0.288192445322014</v>
      </c>
      <c r="O4" s="35">
        <v>0.262735238470103</v>
      </c>
      <c r="P4" s="35">
        <v>0.526055904613283</v>
      </c>
      <c r="Q4" s="35">
        <v>0.102594426643578</v>
      </c>
    </row>
    <row r="5" spans="1:17">
      <c r="A5" s="24" t="s">
        <v>17</v>
      </c>
      <c r="B5" s="24" t="s">
        <v>21</v>
      </c>
      <c r="C5" s="34">
        <v>214715</v>
      </c>
      <c r="D5" s="34">
        <v>5085</v>
      </c>
      <c r="E5" s="34">
        <v>6917.44</v>
      </c>
      <c r="F5" s="34">
        <v>127</v>
      </c>
      <c r="G5" s="34">
        <v>67038.43</v>
      </c>
      <c r="H5" s="34">
        <v>326</v>
      </c>
      <c r="I5" s="36">
        <v>9.69121958412361</v>
      </c>
      <c r="J5" s="37">
        <v>0.0236825559462543</v>
      </c>
      <c r="K5" s="37">
        <v>0.0249754178957719</v>
      </c>
      <c r="L5" s="36">
        <v>1.36036184857424</v>
      </c>
      <c r="M5" s="38">
        <v>21.2191411042945</v>
      </c>
      <c r="N5" s="35">
        <v>0.0093814268162549</v>
      </c>
      <c r="O5" s="35">
        <v>0.0105453088507873</v>
      </c>
      <c r="P5" s="35">
        <v>0</v>
      </c>
      <c r="Q5" s="35">
        <v>0</v>
      </c>
    </row>
    <row r="6" spans="1:17">
      <c r="A6" s="24" t="s">
        <v>17</v>
      </c>
      <c r="B6" s="24" t="s">
        <v>22</v>
      </c>
      <c r="C6" s="34">
        <v>1003821</v>
      </c>
      <c r="D6" s="34">
        <v>99980</v>
      </c>
      <c r="E6" s="34">
        <v>98578.7</v>
      </c>
      <c r="F6" s="34">
        <v>95</v>
      </c>
      <c r="G6" s="34">
        <v>301421.03</v>
      </c>
      <c r="H6" s="34">
        <v>7556</v>
      </c>
      <c r="I6" s="36">
        <v>3.05766894876885</v>
      </c>
      <c r="J6" s="37">
        <v>0.09959943057577</v>
      </c>
      <c r="K6" s="37">
        <v>0.000950190038007601</v>
      </c>
      <c r="L6" s="36">
        <v>0.985984196839368</v>
      </c>
      <c r="M6" s="38">
        <v>13.0464134462679</v>
      </c>
      <c r="N6" s="35">
        <v>0.133692357243655</v>
      </c>
      <c r="O6" s="35">
        <v>0.0474142645565003</v>
      </c>
      <c r="P6" s="35">
        <v>0.992514127976557</v>
      </c>
      <c r="Q6" s="35">
        <v>0.260211609291419</v>
      </c>
    </row>
    <row r="7" spans="1:17">
      <c r="A7" s="24" t="s">
        <v>17</v>
      </c>
      <c r="B7" s="24" t="s">
        <v>23</v>
      </c>
      <c r="C7" s="34">
        <v>30453207</v>
      </c>
      <c r="D7" s="34">
        <v>4247047</v>
      </c>
      <c r="E7" s="34">
        <v>39081.43</v>
      </c>
      <c r="F7" s="34">
        <v>348</v>
      </c>
      <c r="G7" s="34">
        <v>714575.16</v>
      </c>
      <c r="H7" s="34">
        <v>0</v>
      </c>
      <c r="I7" s="36">
        <v>18.2842633956843</v>
      </c>
      <c r="J7" s="37">
        <v>0.139461403851489</v>
      </c>
      <c r="K7" s="37">
        <v>8.19392862852707e-5</v>
      </c>
      <c r="L7" s="36">
        <v>0.00920202437128669</v>
      </c>
      <c r="M7" s="38">
        <v>0</v>
      </c>
      <c r="N7" s="35">
        <v>0.0530022053562573</v>
      </c>
      <c r="O7" s="35">
        <v>0.11240441876847</v>
      </c>
      <c r="P7" s="35">
        <v>0.892034525946019</v>
      </c>
      <c r="Q7" s="35">
        <v>0.774456273032489</v>
      </c>
    </row>
    <row r="8" spans="1:17">
      <c r="A8" s="24" t="s">
        <v>17</v>
      </c>
      <c r="B8" s="24" t="s">
        <v>24</v>
      </c>
      <c r="C8" s="34"/>
      <c r="D8" s="34"/>
      <c r="E8" s="34"/>
      <c r="F8" s="34"/>
      <c r="G8" s="34"/>
      <c r="H8" s="34"/>
      <c r="I8" s="36"/>
      <c r="J8" s="37"/>
      <c r="K8" s="37"/>
      <c r="L8" s="36"/>
      <c r="M8" s="38"/>
      <c r="N8" s="35"/>
      <c r="O8" s="35"/>
      <c r="P8" s="35"/>
      <c r="Q8" s="35"/>
    </row>
    <row r="9" spans="1:17">
      <c r="A9" s="24" t="s">
        <v>17</v>
      </c>
      <c r="B9" s="24" t="s">
        <v>25</v>
      </c>
      <c r="C9" s="34">
        <v>146423</v>
      </c>
      <c r="D9" s="34">
        <v>8757</v>
      </c>
      <c r="E9" s="34">
        <v>18740.97</v>
      </c>
      <c r="F9" s="34">
        <v>340</v>
      </c>
      <c r="G9" s="34">
        <v>218717.78</v>
      </c>
      <c r="H9" s="34">
        <v>1233</v>
      </c>
      <c r="I9" s="36">
        <v>11.6705688126068</v>
      </c>
      <c r="J9" s="37">
        <v>0.0598061779911626</v>
      </c>
      <c r="K9" s="37">
        <v>0.0388260819915496</v>
      </c>
      <c r="L9" s="36">
        <v>2.14011305241521</v>
      </c>
      <c r="M9" s="38">
        <v>15.1994890510949</v>
      </c>
      <c r="N9" s="35">
        <v>0.0254164891232347</v>
      </c>
      <c r="O9" s="35">
        <v>0.0344048412419347</v>
      </c>
      <c r="P9" s="35">
        <v>0.57518778981661</v>
      </c>
      <c r="Q9" s="35">
        <v>0.160236247233845</v>
      </c>
    </row>
    <row r="10" spans="1:17">
      <c r="A10" s="24" t="s">
        <v>17</v>
      </c>
      <c r="B10" s="24" t="s">
        <v>26</v>
      </c>
      <c r="C10" s="34"/>
      <c r="D10" s="34"/>
      <c r="E10" s="34"/>
      <c r="F10" s="34"/>
      <c r="G10" s="34"/>
      <c r="H10" s="34"/>
      <c r="I10" s="36"/>
      <c r="J10" s="37"/>
      <c r="K10" s="37"/>
      <c r="L10" s="36"/>
      <c r="M10" s="38"/>
      <c r="N10" s="35"/>
      <c r="O10" s="35"/>
      <c r="P10" s="35"/>
      <c r="Q10" s="35"/>
    </row>
    <row r="11" spans="1:17">
      <c r="A11" s="24" t="s">
        <v>17</v>
      </c>
      <c r="B11" s="24" t="s">
        <v>27</v>
      </c>
      <c r="C11" s="34">
        <v>7499</v>
      </c>
      <c r="D11" s="34">
        <v>6023</v>
      </c>
      <c r="E11" s="34">
        <v>3509.79</v>
      </c>
      <c r="F11" s="34">
        <v>401</v>
      </c>
      <c r="G11" s="34">
        <v>871338.82</v>
      </c>
      <c r="H11" s="34">
        <v>0</v>
      </c>
      <c r="I11" s="36">
        <v>248.259531197023</v>
      </c>
      <c r="J11" s="37">
        <v>0.803173756500867</v>
      </c>
      <c r="K11" s="37">
        <v>0.0665781172173336</v>
      </c>
      <c r="L11" s="36">
        <v>0.582731197077868</v>
      </c>
      <c r="M11" s="38">
        <v>0</v>
      </c>
      <c r="N11" s="35">
        <v>0.00475997450291196</v>
      </c>
      <c r="O11" s="35">
        <v>0.137063725546385</v>
      </c>
      <c r="P11" s="35">
        <v>0.755158273741061</v>
      </c>
      <c r="Q11" s="35">
        <v>3.03102329943638</v>
      </c>
    </row>
    <row r="12" spans="1:17">
      <c r="A12" s="24" t="s">
        <v>17</v>
      </c>
      <c r="B12" s="24" t="s">
        <v>28</v>
      </c>
      <c r="C12" s="33"/>
      <c r="D12" s="33"/>
      <c r="E12" s="33"/>
      <c r="F12" s="33"/>
      <c r="G12" s="33"/>
      <c r="H12" s="33"/>
      <c r="I12" s="36"/>
      <c r="J12" s="36"/>
      <c r="K12" s="36"/>
      <c r="L12" s="36"/>
      <c r="M12" s="38"/>
      <c r="N12" s="35"/>
      <c r="O12" s="35"/>
      <c r="P12" s="35"/>
      <c r="Q12" s="35"/>
    </row>
    <row r="13" spans="1:17">
      <c r="A13" s="24" t="s">
        <v>17</v>
      </c>
      <c r="B13" s="24" t="s">
        <v>29</v>
      </c>
      <c r="C13" s="33">
        <v>5406451</v>
      </c>
      <c r="D13" s="33">
        <v>500479</v>
      </c>
      <c r="E13" s="33">
        <v>18821</v>
      </c>
      <c r="F13" s="33">
        <v>18</v>
      </c>
      <c r="G13" s="33">
        <v>20721.65</v>
      </c>
      <c r="H13" s="34">
        <v>0</v>
      </c>
      <c r="I13" s="36">
        <v>1.10098560119016</v>
      </c>
      <c r="J13" s="37">
        <v>0</v>
      </c>
      <c r="K13" s="37">
        <v>5.3132139631263e-5</v>
      </c>
      <c r="L13" s="36">
        <v>0</v>
      </c>
      <c r="M13" s="38">
        <v>4.82587052671964e-5</v>
      </c>
      <c r="N13" s="35">
        <v>0.0255250257477815</v>
      </c>
      <c r="O13" s="35">
        <v>0.00325956617939765</v>
      </c>
      <c r="P13" s="35">
        <v>0</v>
      </c>
      <c r="Q13" s="35">
        <v>0</v>
      </c>
    </row>
    <row r="14" spans="1:17">
      <c r="A14" s="24" t="s">
        <v>17</v>
      </c>
      <c r="B14" s="24" t="s">
        <v>30</v>
      </c>
      <c r="C14" s="33">
        <v>306316</v>
      </c>
      <c r="D14" s="33">
        <v>13708</v>
      </c>
      <c r="E14" s="33">
        <v>40874</v>
      </c>
      <c r="F14" s="33">
        <v>101</v>
      </c>
      <c r="G14" s="33">
        <v>199001.59</v>
      </c>
      <c r="H14" s="34">
        <v>0</v>
      </c>
      <c r="I14" s="36">
        <v>4.86865953907129</v>
      </c>
      <c r="J14" s="37">
        <v>3.58415841584158</v>
      </c>
      <c r="K14" s="37">
        <v>2.44654303469198e-5</v>
      </c>
      <c r="L14" s="36">
        <v>0.0099009900990099</v>
      </c>
      <c r="M14" s="38">
        <v>5.02508547796025e-6</v>
      </c>
      <c r="N14" s="35">
        <v>0.0554332874137835</v>
      </c>
      <c r="O14" s="35">
        <v>0.0313034363774293</v>
      </c>
      <c r="P14" s="35">
        <v>2.50819672131148</v>
      </c>
      <c r="Q14" s="35">
        <v>1.49199142679684</v>
      </c>
    </row>
    <row r="15" spans="1:17">
      <c r="A15" s="24" t="s">
        <v>17</v>
      </c>
      <c r="B15" s="24" t="s">
        <v>31</v>
      </c>
      <c r="C15" s="34">
        <v>42580673</v>
      </c>
      <c r="D15" s="34">
        <v>5083696</v>
      </c>
      <c r="E15" s="34">
        <v>737354.79</v>
      </c>
      <c r="F15" s="34">
        <v>5473</v>
      </c>
      <c r="G15" s="34">
        <v>6357180.33</v>
      </c>
      <c r="H15" s="34">
        <v>28203</v>
      </c>
      <c r="I15" s="36">
        <v>8.62160308201158</v>
      </c>
      <c r="J15" s="37">
        <v>0.119389752247457</v>
      </c>
      <c r="K15" s="37">
        <v>0.00107657892997536</v>
      </c>
      <c r="L15" s="36">
        <v>0.145043053321835</v>
      </c>
      <c r="M15" s="38">
        <v>26.1445516434422</v>
      </c>
      <c r="N15" s="35">
        <v>1</v>
      </c>
      <c r="O15" s="35">
        <v>1</v>
      </c>
      <c r="P15" s="35">
        <v>0.589260042873856</v>
      </c>
      <c r="Q15" s="35">
        <v>0.334101533542715</v>
      </c>
    </row>
    <row r="16" spans="1:17">
      <c r="A16" s="24" t="s">
        <v>17</v>
      </c>
      <c r="B16" s="24" t="s">
        <v>32</v>
      </c>
      <c r="C16" s="35">
        <v>0.03882380362959</v>
      </c>
      <c r="D16" s="35">
        <v>-0.0467483154431695</v>
      </c>
      <c r="E16" s="35">
        <v>0.589260042873856</v>
      </c>
      <c r="F16" s="35">
        <v>0.551303854875284</v>
      </c>
      <c r="G16" s="35">
        <v>1.12023426039617</v>
      </c>
      <c r="H16" s="35">
        <v>0.435559401404866</v>
      </c>
      <c r="I16" s="35">
        <v>0.334101533542715</v>
      </c>
      <c r="J16" s="35">
        <v>-0.0823740453133417</v>
      </c>
      <c r="K16" s="35">
        <v>0.627381183801934</v>
      </c>
      <c r="L16" s="35">
        <v>0.667198777217694</v>
      </c>
      <c r="M16" s="35">
        <v>0.107066723479765</v>
      </c>
      <c r="N16" s="35" t="s">
        <v>33</v>
      </c>
      <c r="O16" s="35" t="s">
        <v>33</v>
      </c>
      <c r="P16" s="35" t="s">
        <v>33</v>
      </c>
      <c r="Q16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F16" sqref="F16"/>
    </sheetView>
  </sheetViews>
  <sheetFormatPr defaultColWidth="11" defaultRowHeight="16.8"/>
  <cols>
    <col min="1" max="1" width="25.5" style="32" customWidth="1"/>
    <col min="2" max="2" width="9.33653846153846" style="32" customWidth="1"/>
    <col min="3" max="3" width="14.3365384615385" style="32" customWidth="1"/>
    <col min="4" max="4" width="12.3365384615385" style="32" customWidth="1"/>
    <col min="5" max="5" width="11.6634615384615" style="32" customWidth="1"/>
    <col min="6" max="6" width="8" style="32" customWidth="1"/>
    <col min="7" max="7" width="12.8365384615385" style="32" customWidth="1"/>
    <col min="8" max="8" width="9.5" style="32" customWidth="1"/>
    <col min="9" max="9" width="12.8365384615385" style="32" customWidth="1"/>
    <col min="10" max="10" width="11.5" style="32" customWidth="1"/>
    <col min="11" max="11" width="8.5" style="32" customWidth="1"/>
    <col min="12" max="12" width="9.33653846153846" style="47" customWidth="1"/>
    <col min="13" max="13" width="11.1634615384615" style="32" customWidth="1"/>
    <col min="14" max="14" width="8.5" style="32" customWidth="1"/>
    <col min="15" max="19" width="9.33653846153846" style="32" customWidth="1"/>
    <col min="20" max="21" width="11.1634615384615" style="32" hidden="1" customWidth="1"/>
    <col min="22" max="22" width="9" style="32" hidden="1" customWidth="1"/>
    <col min="23" max="16384" width="11" style="32"/>
  </cols>
  <sheetData>
    <row r="1" spans="1:19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34</v>
      </c>
      <c r="J1" s="28" t="s">
        <v>35</v>
      </c>
      <c r="K1" s="28" t="s">
        <v>8</v>
      </c>
      <c r="L1" s="48" t="s">
        <v>9</v>
      </c>
      <c r="M1" s="28" t="s">
        <v>10</v>
      </c>
      <c r="N1" s="28" t="s">
        <v>11</v>
      </c>
      <c r="O1" s="28" t="s">
        <v>12</v>
      </c>
      <c r="P1" s="28" t="s">
        <v>13</v>
      </c>
      <c r="Q1" s="28" t="s">
        <v>14</v>
      </c>
      <c r="R1" s="28" t="s">
        <v>15</v>
      </c>
      <c r="S1" s="28" t="s">
        <v>16</v>
      </c>
    </row>
    <row r="2" spans="1:19">
      <c r="A2" s="24" t="s">
        <v>17</v>
      </c>
      <c r="B2" s="24" t="s">
        <v>36</v>
      </c>
      <c r="C2" s="34">
        <v>71990</v>
      </c>
      <c r="D2" s="34">
        <v>4204</v>
      </c>
      <c r="E2" s="34">
        <v>8421.32</v>
      </c>
      <c r="F2" s="34">
        <v>68</v>
      </c>
      <c r="G2" s="34">
        <v>72398.36</v>
      </c>
      <c r="H2" s="34">
        <v>313</v>
      </c>
      <c r="I2" s="34">
        <v>48256</v>
      </c>
      <c r="J2" s="37">
        <v>0.174513428381963</v>
      </c>
      <c r="K2" s="36">
        <v>8.59703229422466</v>
      </c>
      <c r="L2" s="49">
        <v>0.0583969995832755</v>
      </c>
      <c r="M2" s="37">
        <v>0.0161750713606089</v>
      </c>
      <c r="N2" s="36">
        <v>2.00316841103711</v>
      </c>
      <c r="O2" s="38">
        <v>26.9051757188498</v>
      </c>
      <c r="P2" s="35">
        <v>0.0114209877174596</v>
      </c>
      <c r="Q2" s="35">
        <v>0.0113884389370468</v>
      </c>
      <c r="R2" s="35">
        <v>0.265066503225264</v>
      </c>
      <c r="S2" s="35">
        <v>2.30058616477184</v>
      </c>
    </row>
    <row r="3" spans="1:19">
      <c r="A3" s="24" t="s">
        <v>17</v>
      </c>
      <c r="B3" s="24" t="s">
        <v>37</v>
      </c>
      <c r="C3" s="34">
        <v>828617</v>
      </c>
      <c r="D3" s="34">
        <v>21151</v>
      </c>
      <c r="E3" s="34">
        <v>35276.08</v>
      </c>
      <c r="F3" s="34">
        <v>198</v>
      </c>
      <c r="G3" s="34">
        <v>309041.85</v>
      </c>
      <c r="H3" s="34">
        <v>1062</v>
      </c>
      <c r="I3" s="34">
        <v>282689</v>
      </c>
      <c r="J3" s="37">
        <v>0.124787593433066</v>
      </c>
      <c r="K3" s="36">
        <v>8.76066303285399</v>
      </c>
      <c r="L3" s="49">
        <v>0.0255256650539393</v>
      </c>
      <c r="M3" s="37">
        <v>0.00936125951491655</v>
      </c>
      <c r="N3" s="36">
        <v>1.66782090681292</v>
      </c>
      <c r="O3" s="38">
        <v>33.216647834275</v>
      </c>
      <c r="P3" s="35">
        <v>0.0478413926082992</v>
      </c>
      <c r="Q3" s="35">
        <v>0.0486130381643586</v>
      </c>
      <c r="R3" s="35">
        <v>0.416175419721069</v>
      </c>
      <c r="S3" s="35">
        <v>0.159241963597842</v>
      </c>
    </row>
    <row r="4" spans="1:19">
      <c r="A4" s="24" t="s">
        <v>17</v>
      </c>
      <c r="B4" s="24" t="s">
        <v>38</v>
      </c>
      <c r="C4" s="34">
        <v>31325070</v>
      </c>
      <c r="D4" s="34">
        <v>4128490</v>
      </c>
      <c r="E4" s="34">
        <v>430661.88</v>
      </c>
      <c r="F4" s="34">
        <v>1383</v>
      </c>
      <c r="G4" s="34">
        <v>3890558.72</v>
      </c>
      <c r="H4" s="34">
        <v>12325</v>
      </c>
      <c r="I4" s="34">
        <v>1267755</v>
      </c>
      <c r="J4" s="37">
        <v>0.339704343504857</v>
      </c>
      <c r="K4" s="36">
        <v>9.03390548520338</v>
      </c>
      <c r="L4" s="49">
        <v>0.1317950765952</v>
      </c>
      <c r="M4" s="37">
        <v>0.000334989306017454</v>
      </c>
      <c r="N4" s="36">
        <v>0.104314623506415</v>
      </c>
      <c r="O4" s="38">
        <v>34.9421403651116</v>
      </c>
      <c r="P4" s="35">
        <v>0.584063310960521</v>
      </c>
      <c r="Q4" s="35">
        <v>0.611994393432599</v>
      </c>
      <c r="R4" s="35">
        <v>0.709163111812617</v>
      </c>
      <c r="S4" s="35">
        <v>0.470537761276541</v>
      </c>
    </row>
    <row r="5" spans="1:19">
      <c r="A5" s="24" t="s">
        <v>17</v>
      </c>
      <c r="B5" s="24" t="s">
        <v>39</v>
      </c>
      <c r="C5" s="34">
        <v>10152612</v>
      </c>
      <c r="D5" s="34">
        <v>913493</v>
      </c>
      <c r="E5" s="34">
        <v>233505</v>
      </c>
      <c r="F5" s="34">
        <v>2806</v>
      </c>
      <c r="G5" s="34">
        <v>1876207.14</v>
      </c>
      <c r="H5" s="34">
        <v>12030</v>
      </c>
      <c r="I5" s="34">
        <v>1051106</v>
      </c>
      <c r="J5" s="37">
        <v>0.222151714479796</v>
      </c>
      <c r="K5" s="36">
        <v>8.03497629601079</v>
      </c>
      <c r="L5" s="49">
        <v>0.0899761558897356</v>
      </c>
      <c r="M5" s="37">
        <v>0.00307172578224464</v>
      </c>
      <c r="N5" s="36">
        <v>0.255617722303291</v>
      </c>
      <c r="O5" s="38">
        <v>19.4102244389027</v>
      </c>
      <c r="P5" s="35">
        <v>0.316679301696813</v>
      </c>
      <c r="Q5" s="35">
        <v>0.295131967728844</v>
      </c>
      <c r="R5" s="35">
        <v>0.469943910407735</v>
      </c>
      <c r="S5" s="35">
        <v>0.159648355363485</v>
      </c>
    </row>
    <row r="6" spans="1:19">
      <c r="A6" s="24" t="s">
        <v>17</v>
      </c>
      <c r="B6" s="24" t="s">
        <v>40</v>
      </c>
      <c r="C6" s="34">
        <v>97886</v>
      </c>
      <c r="D6" s="34">
        <v>9831</v>
      </c>
      <c r="E6" s="34">
        <v>16334.46</v>
      </c>
      <c r="F6" s="34">
        <v>757</v>
      </c>
      <c r="G6" s="34">
        <v>109846.47</v>
      </c>
      <c r="H6" s="34">
        <v>1455</v>
      </c>
      <c r="I6" s="34">
        <v>243537</v>
      </c>
      <c r="J6" s="37">
        <v>0.0670717796474458</v>
      </c>
      <c r="K6" s="36">
        <v>6.7248302055899</v>
      </c>
      <c r="L6" s="49">
        <v>0.100433156937662</v>
      </c>
      <c r="M6" s="37">
        <v>0.0770013223476757</v>
      </c>
      <c r="N6" s="36">
        <v>1.66152578577968</v>
      </c>
      <c r="O6" s="38">
        <v>11.2264329896907</v>
      </c>
      <c r="P6" s="35">
        <v>0.0221527821091391</v>
      </c>
      <c r="Q6" s="35">
        <v>0.0172791181463937</v>
      </c>
      <c r="R6" s="35">
        <v>0.348604538264152</v>
      </c>
      <c r="S6" s="35">
        <v>0.0505855526951102</v>
      </c>
    </row>
    <row r="7" spans="1:19">
      <c r="A7" s="24" t="s">
        <v>17</v>
      </c>
      <c r="B7" s="24" t="s">
        <v>41</v>
      </c>
      <c r="C7" s="34">
        <v>104498</v>
      </c>
      <c r="D7" s="34">
        <v>6527</v>
      </c>
      <c r="E7" s="34">
        <v>13156.05</v>
      </c>
      <c r="F7" s="34">
        <v>261</v>
      </c>
      <c r="G7" s="34">
        <v>99127.79</v>
      </c>
      <c r="H7" s="34">
        <v>1018</v>
      </c>
      <c r="I7" s="34">
        <v>88629</v>
      </c>
      <c r="J7" s="37">
        <v>0.14843956267136</v>
      </c>
      <c r="K7" s="36">
        <v>7.53476841453172</v>
      </c>
      <c r="L7" s="49">
        <v>0.0624605255602978</v>
      </c>
      <c r="M7" s="37">
        <v>0.0399877432204688</v>
      </c>
      <c r="N7" s="36">
        <v>2.01563505438946</v>
      </c>
      <c r="O7" s="38">
        <v>12.9234282907662</v>
      </c>
      <c r="P7" s="35">
        <v>0.0178422249077679</v>
      </c>
      <c r="Q7" s="35">
        <v>0.0155930435907581</v>
      </c>
      <c r="R7" s="35">
        <v>0.391091171320537</v>
      </c>
      <c r="S7" s="35">
        <v>0.0694949802810938</v>
      </c>
    </row>
    <row r="8" spans="1:19">
      <c r="A8" s="24" t="s">
        <v>17</v>
      </c>
      <c r="B8" s="24" t="s">
        <v>31</v>
      </c>
      <c r="C8" s="34">
        <v>42580673</v>
      </c>
      <c r="D8" s="34">
        <v>5083696</v>
      </c>
      <c r="E8" s="34">
        <v>737354.79</v>
      </c>
      <c r="F8" s="34">
        <v>5473</v>
      </c>
      <c r="G8" s="34">
        <v>6357180.33</v>
      </c>
      <c r="H8" s="34">
        <v>28203</v>
      </c>
      <c r="I8" s="34">
        <v>2981972</v>
      </c>
      <c r="J8" s="37">
        <v>0.247270863039626</v>
      </c>
      <c r="K8" s="36">
        <v>8.62160308201158</v>
      </c>
      <c r="L8" s="49">
        <v>0.119389752247457</v>
      </c>
      <c r="M8" s="37">
        <v>0.00107657892997536</v>
      </c>
      <c r="N8" s="36">
        <v>0.145043053321835</v>
      </c>
      <c r="O8" s="38">
        <v>26.1445516434422</v>
      </c>
      <c r="P8" s="35">
        <v>1</v>
      </c>
      <c r="Q8" s="35">
        <v>1</v>
      </c>
      <c r="R8" s="35">
        <v>0.589260042873856</v>
      </c>
      <c r="S8" s="35">
        <v>0.334101533542712</v>
      </c>
    </row>
    <row r="9" spans="1:19">
      <c r="A9" s="24" t="s">
        <v>17</v>
      </c>
      <c r="B9" s="24" t="s">
        <v>32</v>
      </c>
      <c r="C9" s="35">
        <v>0.03882380362959</v>
      </c>
      <c r="D9" s="35">
        <v>-0.0467483154431695</v>
      </c>
      <c r="E9" s="35">
        <v>0.589260042873856</v>
      </c>
      <c r="F9" s="35">
        <v>0.551303854875284</v>
      </c>
      <c r="G9" s="35">
        <v>1.12023426039617</v>
      </c>
      <c r="H9" s="35">
        <v>0.435559401404866</v>
      </c>
      <c r="I9" s="35">
        <v>0.521330457301332</v>
      </c>
      <c r="J9" s="35">
        <v>0.0446514333861572</v>
      </c>
      <c r="K9" s="35">
        <v>0.334101533542712</v>
      </c>
      <c r="L9" s="50">
        <v>-0.0823740453133417</v>
      </c>
      <c r="M9" s="35">
        <v>0.627381183801934</v>
      </c>
      <c r="N9" s="35">
        <v>0.667198777217696</v>
      </c>
      <c r="O9" s="35">
        <v>0.107066723479765</v>
      </c>
      <c r="P9" s="35" t="s">
        <v>33</v>
      </c>
      <c r="Q9" s="35" t="s">
        <v>33</v>
      </c>
      <c r="R9" s="35" t="s">
        <v>33</v>
      </c>
      <c r="S9" s="35" t="s">
        <v>33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12"/>
  <sheetViews>
    <sheetView workbookViewId="0">
      <selection activeCell="D20" sqref="D20"/>
    </sheetView>
  </sheetViews>
  <sheetFormatPr defaultColWidth="11" defaultRowHeight="16.8"/>
  <cols>
    <col min="1" max="1" width="28.125" style="32" customWidth="1"/>
    <col min="2" max="2" width="15" style="32" customWidth="1"/>
    <col min="3" max="8" width="13.6634615384615" style="32" customWidth="1"/>
    <col min="9" max="10" width="8.5" style="32" customWidth="1"/>
    <col min="11" max="11" width="11.1634615384615" style="32" customWidth="1"/>
    <col min="12" max="12" width="8.5" style="32" customWidth="1"/>
    <col min="13" max="15" width="9.33653846153846" style="32" customWidth="1"/>
    <col min="16" max="16" width="10.6634615384615" style="32" customWidth="1"/>
    <col min="17" max="17" width="9.33653846153846" style="32" customWidth="1"/>
    <col min="18" max="16384" width="11" style="32"/>
  </cols>
  <sheetData>
    <row r="1" spans="1:17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42</v>
      </c>
      <c r="C2" s="34">
        <v>4638</v>
      </c>
      <c r="D2" s="34">
        <v>565</v>
      </c>
      <c r="E2" s="34">
        <v>2510.33</v>
      </c>
      <c r="F2" s="34">
        <v>14</v>
      </c>
      <c r="G2" s="34">
        <v>21276.13</v>
      </c>
      <c r="H2" s="34">
        <v>60</v>
      </c>
      <c r="I2" s="36">
        <v>8.47543151697187</v>
      </c>
      <c r="J2" s="37">
        <v>0.121819749892195</v>
      </c>
      <c r="K2" s="37">
        <v>0.0247787610619469</v>
      </c>
      <c r="L2" s="36">
        <v>4.44306194690266</v>
      </c>
      <c r="M2" s="38">
        <v>41.8388333333333</v>
      </c>
      <c r="N2" s="35">
        <v>0.0711623853897599</v>
      </c>
      <c r="O2" s="35">
        <v>0.0688454654280642</v>
      </c>
      <c r="P2" s="35">
        <v>0.122652689763737</v>
      </c>
      <c r="Q2" s="35">
        <v>3.40009708438515</v>
      </c>
    </row>
    <row r="3" spans="1:17">
      <c r="A3" s="24" t="s">
        <v>17</v>
      </c>
      <c r="B3" s="24" t="s">
        <v>43</v>
      </c>
      <c r="C3" s="34">
        <v>608180</v>
      </c>
      <c r="D3" s="34">
        <v>15009</v>
      </c>
      <c r="E3" s="34">
        <v>20087.31</v>
      </c>
      <c r="F3" s="34">
        <v>69</v>
      </c>
      <c r="G3" s="34">
        <v>117002.47</v>
      </c>
      <c r="H3" s="34">
        <v>580</v>
      </c>
      <c r="I3" s="36">
        <v>5.82469579052646</v>
      </c>
      <c r="J3" s="37">
        <v>0.0246785491137492</v>
      </c>
      <c r="K3" s="37">
        <v>0.004597241655007</v>
      </c>
      <c r="L3" s="36">
        <v>1.33835098940636</v>
      </c>
      <c r="M3" s="38">
        <v>34.6332931034483</v>
      </c>
      <c r="N3" s="35">
        <v>0.569431467441961</v>
      </c>
      <c r="O3" s="35">
        <v>0.378597494158154</v>
      </c>
      <c r="P3" s="35">
        <v>0.235220869111776</v>
      </c>
      <c r="Q3" s="35">
        <v>-0.0539125015577759</v>
      </c>
    </row>
    <row r="4" spans="1:17">
      <c r="A4" s="24" t="s">
        <v>17</v>
      </c>
      <c r="B4" s="24" t="s">
        <v>44</v>
      </c>
      <c r="C4" s="34">
        <v>167637</v>
      </c>
      <c r="D4" s="34">
        <v>2756</v>
      </c>
      <c r="E4" s="34">
        <v>6476.31</v>
      </c>
      <c r="F4" s="34">
        <v>29</v>
      </c>
      <c r="G4" s="34">
        <v>49361.6</v>
      </c>
      <c r="H4" s="34">
        <v>176</v>
      </c>
      <c r="I4" s="36">
        <v>7.62187109634962</v>
      </c>
      <c r="J4" s="37">
        <v>0.0164402846626938</v>
      </c>
      <c r="K4" s="37">
        <v>0.010522496371553</v>
      </c>
      <c r="L4" s="36">
        <v>2.34989477503628</v>
      </c>
      <c r="M4" s="38">
        <v>36.7972159090909</v>
      </c>
      <c r="N4" s="35">
        <v>0.183589276359505</v>
      </c>
      <c r="O4" s="35">
        <v>0.159724645707369</v>
      </c>
      <c r="P4" s="35">
        <v>0.854310722476572</v>
      </c>
      <c r="Q4" s="35">
        <v>-0.0846407845368536</v>
      </c>
    </row>
    <row r="5" spans="1:17">
      <c r="A5" s="24" t="s">
        <v>17</v>
      </c>
      <c r="B5" s="24" t="s">
        <v>21</v>
      </c>
      <c r="C5" s="34"/>
      <c r="D5" s="34"/>
      <c r="E5" s="34"/>
      <c r="F5" s="34"/>
      <c r="G5" s="34"/>
      <c r="H5" s="34"/>
      <c r="I5" s="36"/>
      <c r="J5" s="37"/>
      <c r="K5" s="37"/>
      <c r="L5" s="36"/>
      <c r="M5" s="38"/>
      <c r="N5" s="35"/>
      <c r="O5" s="35"/>
      <c r="P5" s="35"/>
      <c r="Q5" s="35"/>
    </row>
    <row r="6" spans="1:17">
      <c r="A6" s="24" t="s">
        <v>17</v>
      </c>
      <c r="B6" s="24" t="s">
        <v>22</v>
      </c>
      <c r="C6" s="34"/>
      <c r="D6" s="34"/>
      <c r="E6" s="34"/>
      <c r="F6" s="34"/>
      <c r="G6" s="34"/>
      <c r="H6" s="34"/>
      <c r="I6" s="36"/>
      <c r="J6" s="37"/>
      <c r="K6" s="37"/>
      <c r="L6" s="36"/>
      <c r="M6" s="38"/>
      <c r="N6" s="35"/>
      <c r="O6" s="35"/>
      <c r="P6" s="35"/>
      <c r="Q6" s="35"/>
    </row>
    <row r="7" spans="1:17">
      <c r="A7" s="24" t="s">
        <v>17</v>
      </c>
      <c r="B7" s="24" t="s">
        <v>23</v>
      </c>
      <c r="C7" s="34"/>
      <c r="D7" s="34"/>
      <c r="E7" s="34"/>
      <c r="F7" s="34"/>
      <c r="G7" s="34"/>
      <c r="H7" s="34"/>
      <c r="I7" s="36"/>
      <c r="J7" s="37"/>
      <c r="K7" s="37"/>
      <c r="L7" s="36"/>
      <c r="M7" s="38"/>
      <c r="N7" s="35"/>
      <c r="O7" s="35"/>
      <c r="P7" s="35"/>
      <c r="Q7" s="35"/>
    </row>
    <row r="8" spans="1:17">
      <c r="A8" s="24" t="s">
        <v>17</v>
      </c>
      <c r="B8" s="24" t="s">
        <v>24</v>
      </c>
      <c r="C8" s="34"/>
      <c r="D8" s="34"/>
      <c r="E8" s="34"/>
      <c r="F8" s="34"/>
      <c r="G8" s="34"/>
      <c r="H8" s="34"/>
      <c r="I8" s="36"/>
      <c r="J8" s="37"/>
      <c r="K8" s="37"/>
      <c r="L8" s="36"/>
      <c r="M8" s="38"/>
      <c r="N8" s="35"/>
      <c r="O8" s="35"/>
      <c r="P8" s="35"/>
      <c r="Q8" s="35"/>
    </row>
    <row r="9" spans="1:17">
      <c r="A9" s="24" t="s">
        <v>17</v>
      </c>
      <c r="B9" s="24" t="s">
        <v>25</v>
      </c>
      <c r="C9" s="34">
        <v>48162</v>
      </c>
      <c r="D9" s="34">
        <v>2821</v>
      </c>
      <c r="E9" s="34">
        <v>6202.13</v>
      </c>
      <c r="F9" s="34">
        <v>86</v>
      </c>
      <c r="G9" s="34">
        <v>121401.65</v>
      </c>
      <c r="H9" s="34">
        <v>246</v>
      </c>
      <c r="I9" s="36">
        <v>19.574186610084</v>
      </c>
      <c r="J9" s="37">
        <v>0.0585731489556082</v>
      </c>
      <c r="K9" s="37">
        <v>0.0304856433888692</v>
      </c>
      <c r="L9" s="36">
        <v>2.19855724920241</v>
      </c>
      <c r="M9" s="38">
        <v>25.2119105691057</v>
      </c>
      <c r="N9" s="35">
        <v>0.175816870808775</v>
      </c>
      <c r="O9" s="35">
        <v>0.392832394706413</v>
      </c>
      <c r="P9" s="35">
        <v>1.12500685250665</v>
      </c>
      <c r="Q9" s="35">
        <v>0.0436976234397592</v>
      </c>
    </row>
    <row r="10" spans="1:17">
      <c r="A10" s="24" t="s">
        <v>17</v>
      </c>
      <c r="B10" s="24" t="s">
        <v>26</v>
      </c>
      <c r="C10" s="34"/>
      <c r="D10" s="34"/>
      <c r="E10" s="34"/>
      <c r="F10" s="34"/>
      <c r="G10" s="34"/>
      <c r="H10" s="34"/>
      <c r="I10" s="36"/>
      <c r="J10" s="37"/>
      <c r="K10" s="37"/>
      <c r="L10" s="36"/>
      <c r="M10" s="38"/>
      <c r="N10" s="35"/>
      <c r="O10" s="35"/>
      <c r="P10" s="35"/>
      <c r="Q10" s="35"/>
    </row>
    <row r="11" spans="1:17">
      <c r="A11" s="24" t="s">
        <v>17</v>
      </c>
      <c r="B11" s="24" t="s">
        <v>31</v>
      </c>
      <c r="C11" s="34">
        <v>828617</v>
      </c>
      <c r="D11" s="34">
        <v>21151</v>
      </c>
      <c r="E11" s="34">
        <v>35276.08</v>
      </c>
      <c r="F11" s="34">
        <v>198</v>
      </c>
      <c r="G11" s="34">
        <v>309041.85</v>
      </c>
      <c r="H11" s="34">
        <v>1062</v>
      </c>
      <c r="I11" s="36">
        <v>8.76066303285399</v>
      </c>
      <c r="J11" s="37">
        <v>0.0255256650539393</v>
      </c>
      <c r="K11" s="37">
        <v>0.00936125951491655</v>
      </c>
      <c r="L11" s="36">
        <v>1.66782090681292</v>
      </c>
      <c r="M11" s="38">
        <v>33.216647834275</v>
      </c>
      <c r="N11" s="35">
        <v>1</v>
      </c>
      <c r="O11" s="35">
        <v>1</v>
      </c>
      <c r="P11" s="35">
        <v>0.416175419721069</v>
      </c>
      <c r="Q11" s="35">
        <v>0.159241963597842</v>
      </c>
    </row>
    <row r="12" spans="1:17">
      <c r="A12" s="24" t="s">
        <v>17</v>
      </c>
      <c r="B12" s="24" t="s">
        <v>32</v>
      </c>
      <c r="C12" s="35">
        <v>0.273060105763528</v>
      </c>
      <c r="D12" s="35">
        <v>0.424981472748097</v>
      </c>
      <c r="E12" s="35">
        <v>0.416175419721069</v>
      </c>
      <c r="F12" s="35">
        <v>0.783783783783784</v>
      </c>
      <c r="G12" s="35">
        <v>0.64168997435645</v>
      </c>
      <c r="H12" s="35">
        <v>0.158124318429662</v>
      </c>
      <c r="I12" s="35">
        <v>0.159241963597842</v>
      </c>
      <c r="J12" s="35">
        <v>0.119335580697859</v>
      </c>
      <c r="K12" s="35">
        <v>0.251794369188346</v>
      </c>
      <c r="L12" s="35">
        <v>-0.00617976668148879</v>
      </c>
      <c r="M12" s="35">
        <v>0.2228181354842</v>
      </c>
      <c r="N12" s="35" t="s">
        <v>33</v>
      </c>
      <c r="O12" s="35" t="s">
        <v>33</v>
      </c>
      <c r="P12" s="35" t="s">
        <v>33</v>
      </c>
      <c r="Q12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zoomScale="90" zoomScaleNormal="90" workbookViewId="0">
      <selection activeCell="I30" sqref="I30"/>
    </sheetView>
  </sheetViews>
  <sheetFormatPr defaultColWidth="10.8365384615385" defaultRowHeight="16.8"/>
  <cols>
    <col min="1" max="1" width="24.1634615384615" style="32" customWidth="1"/>
    <col min="2" max="2" width="14.6634615384615" style="32" customWidth="1"/>
    <col min="3" max="3" width="17.8365384615385" style="32" customWidth="1"/>
    <col min="4" max="4" width="17.3365384615385" style="32" customWidth="1"/>
    <col min="5" max="5" width="18" style="32" customWidth="1"/>
    <col min="6" max="6" width="11" style="32" customWidth="1"/>
    <col min="7" max="7" width="18" style="32" customWidth="1"/>
    <col min="8" max="8" width="11" style="32" customWidth="1"/>
    <col min="9" max="9" width="13" style="32" customWidth="1"/>
    <col min="10" max="10" width="8.5" style="32" customWidth="1"/>
    <col min="11" max="11" width="11.1634615384615" style="32" customWidth="1"/>
    <col min="12" max="12" width="8.5" style="32" customWidth="1"/>
    <col min="13" max="15" width="9.33653846153846" style="32" customWidth="1"/>
    <col min="16" max="16" width="14.3365384615385" style="32" customWidth="1"/>
    <col min="17" max="17" width="11.8365384615385" style="32" customWidth="1"/>
    <col min="18" max="16384" width="10.8365384615385" style="32"/>
  </cols>
  <sheetData>
    <row r="1" spans="1:17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42</v>
      </c>
      <c r="C2" s="34">
        <v>33088</v>
      </c>
      <c r="D2" s="34">
        <v>6267</v>
      </c>
      <c r="E2" s="34">
        <v>15079.25</v>
      </c>
      <c r="F2" s="34">
        <v>96</v>
      </c>
      <c r="G2" s="34">
        <v>178551.24</v>
      </c>
      <c r="H2" s="34">
        <v>427</v>
      </c>
      <c r="I2" s="36">
        <v>11.8408568065388</v>
      </c>
      <c r="J2" s="37">
        <v>0.189404013539652</v>
      </c>
      <c r="K2" s="37">
        <v>0.0153183341311632</v>
      </c>
      <c r="L2" s="36">
        <v>2.40613531195149</v>
      </c>
      <c r="M2" s="38">
        <v>35.3144028103045</v>
      </c>
      <c r="N2" s="35">
        <v>0.0350141275564022</v>
      </c>
      <c r="O2" s="35">
        <v>0.0458934700258168</v>
      </c>
      <c r="P2" s="35">
        <v>0.231198387931696</v>
      </c>
      <c r="Q2" s="35">
        <v>-0.0362047179564727</v>
      </c>
    </row>
    <row r="3" spans="1:17">
      <c r="A3" s="24" t="s">
        <v>17</v>
      </c>
      <c r="B3" s="24" t="s">
        <v>43</v>
      </c>
      <c r="C3" s="34">
        <v>648188</v>
      </c>
      <c r="D3" s="34">
        <v>38446</v>
      </c>
      <c r="E3" s="34">
        <v>134095.93</v>
      </c>
      <c r="F3" s="34">
        <v>397</v>
      </c>
      <c r="G3" s="34">
        <v>1290581.45</v>
      </c>
      <c r="H3" s="34">
        <v>3501</v>
      </c>
      <c r="I3" s="36">
        <v>9.62431484684136</v>
      </c>
      <c r="J3" s="37">
        <v>0.059313038809728</v>
      </c>
      <c r="K3" s="37">
        <v>0.0103261717733965</v>
      </c>
      <c r="L3" s="36">
        <v>3.48790329293034</v>
      </c>
      <c r="M3" s="38">
        <v>38.3021793773208</v>
      </c>
      <c r="N3" s="35">
        <v>0.311371719270812</v>
      </c>
      <c r="O3" s="35">
        <v>0.331721365202785</v>
      </c>
      <c r="P3" s="35">
        <v>0.376436256287687</v>
      </c>
      <c r="Q3" s="35">
        <v>0.661897132339054</v>
      </c>
    </row>
    <row r="4" spans="1:17">
      <c r="A4" s="24" t="s">
        <v>17</v>
      </c>
      <c r="B4" s="24" t="s">
        <v>44</v>
      </c>
      <c r="C4" s="34">
        <v>1633336</v>
      </c>
      <c r="D4" s="34">
        <v>46327</v>
      </c>
      <c r="E4" s="34">
        <v>144733.96</v>
      </c>
      <c r="F4" s="34">
        <v>512</v>
      </c>
      <c r="G4" s="34">
        <v>1242151.97</v>
      </c>
      <c r="H4" s="34">
        <v>3874</v>
      </c>
      <c r="I4" s="36">
        <v>8.58231178087023</v>
      </c>
      <c r="J4" s="37">
        <v>0.0283634230801256</v>
      </c>
      <c r="K4" s="37">
        <v>0.011051870399551</v>
      </c>
      <c r="L4" s="36">
        <v>3.12418157877695</v>
      </c>
      <c r="M4" s="38">
        <v>37.3603407330924</v>
      </c>
      <c r="N4" s="35">
        <v>0.336073301867349</v>
      </c>
      <c r="O4" s="35">
        <v>0.319273415310385</v>
      </c>
      <c r="P4" s="35">
        <v>0.880151634308886</v>
      </c>
      <c r="Q4" s="35">
        <v>0.179315395054012</v>
      </c>
    </row>
    <row r="5" spans="1:17">
      <c r="A5" s="24" t="s">
        <v>17</v>
      </c>
      <c r="B5" s="24" t="s">
        <v>21</v>
      </c>
      <c r="C5" s="34">
        <v>167117</v>
      </c>
      <c r="D5" s="34">
        <v>3504</v>
      </c>
      <c r="E5" s="34">
        <v>3376.86</v>
      </c>
      <c r="F5" s="34">
        <v>32</v>
      </c>
      <c r="G5" s="34">
        <v>27802.59</v>
      </c>
      <c r="H5" s="34">
        <v>70</v>
      </c>
      <c r="I5" s="36">
        <v>8.23326699952026</v>
      </c>
      <c r="J5" s="37">
        <v>0.0209673462304852</v>
      </c>
      <c r="K5" s="37">
        <v>0.0091324200913242</v>
      </c>
      <c r="L5" s="36">
        <v>0.963715753424658</v>
      </c>
      <c r="M5" s="38">
        <v>48.2408571428571</v>
      </c>
      <c r="N5" s="35">
        <v>0.00784109334218297</v>
      </c>
      <c r="O5" s="35">
        <v>0.00714616896978746</v>
      </c>
      <c r="P5" s="35">
        <v>6.96128819313467</v>
      </c>
      <c r="Q5" s="35">
        <v>15.528883616606</v>
      </c>
    </row>
    <row r="6" spans="1:17">
      <c r="A6" s="24" t="s">
        <v>17</v>
      </c>
      <c r="B6" s="24" t="s">
        <v>22</v>
      </c>
      <c r="C6" s="34">
        <v>585785</v>
      </c>
      <c r="D6" s="34">
        <v>52326</v>
      </c>
      <c r="E6" s="34">
        <v>66896.08</v>
      </c>
      <c r="F6" s="34">
        <v>83</v>
      </c>
      <c r="G6" s="34">
        <v>293176.48</v>
      </c>
      <c r="H6" s="34">
        <v>4250</v>
      </c>
      <c r="I6" s="36">
        <v>4.38256591417614</v>
      </c>
      <c r="J6" s="37">
        <v>0.089326288655394</v>
      </c>
      <c r="K6" s="37">
        <v>0.00158620953254596</v>
      </c>
      <c r="L6" s="36">
        <v>1.27844819019226</v>
      </c>
      <c r="M6" s="38">
        <v>15.7402541176471</v>
      </c>
      <c r="N6" s="35">
        <v>0.155333181566941</v>
      </c>
      <c r="O6" s="35">
        <v>0.0753558810185494</v>
      </c>
      <c r="P6" s="35">
        <v>0.625588702930192</v>
      </c>
      <c r="Q6" s="35">
        <v>0.502414580826842</v>
      </c>
    </row>
    <row r="7" spans="1:17">
      <c r="A7" s="24" t="s">
        <v>17</v>
      </c>
      <c r="B7" s="24" t="s">
        <v>23</v>
      </c>
      <c r="C7" s="34">
        <v>25730166</v>
      </c>
      <c r="D7" s="34">
        <v>3741377</v>
      </c>
      <c r="E7" s="34">
        <v>23599.88</v>
      </c>
      <c r="F7" s="34">
        <v>64</v>
      </c>
      <c r="G7" s="34">
        <v>288219.52</v>
      </c>
      <c r="H7" s="34">
        <v>0</v>
      </c>
      <c r="I7" s="36">
        <v>12.212753624171</v>
      </c>
      <c r="J7" s="37">
        <v>0.145408195190035</v>
      </c>
      <c r="K7" s="37">
        <v>1.7106001346563e-5</v>
      </c>
      <c r="L7" s="36">
        <v>0.0063078059227926</v>
      </c>
      <c r="M7" s="38">
        <v>0</v>
      </c>
      <c r="N7" s="35">
        <v>0.054799092039444</v>
      </c>
      <c r="O7" s="35">
        <v>0.0740817812409216</v>
      </c>
      <c r="P7" s="35">
        <v>1.03971412742574</v>
      </c>
      <c r="Q7" s="35">
        <v>0.67086120366632</v>
      </c>
    </row>
    <row r="8" spans="1:17">
      <c r="A8" s="24" t="s">
        <v>17</v>
      </c>
      <c r="B8" s="24" t="s">
        <v>45</v>
      </c>
      <c r="C8" s="34"/>
      <c r="D8" s="34"/>
      <c r="E8" s="34"/>
      <c r="F8" s="34"/>
      <c r="G8" s="34"/>
      <c r="H8" s="34"/>
      <c r="I8" s="36"/>
      <c r="J8" s="37"/>
      <c r="K8" s="37"/>
      <c r="L8" s="36"/>
      <c r="M8" s="38"/>
      <c r="N8" s="35"/>
      <c r="O8" s="35"/>
      <c r="P8" s="35"/>
      <c r="Q8" s="35"/>
    </row>
    <row r="9" spans="1:17">
      <c r="A9" s="24" t="s">
        <v>17</v>
      </c>
      <c r="B9" s="24" t="s">
        <v>24</v>
      </c>
      <c r="C9" s="34"/>
      <c r="D9" s="34"/>
      <c r="E9" s="34"/>
      <c r="F9" s="34"/>
      <c r="G9" s="34"/>
      <c r="H9" s="34"/>
      <c r="I9" s="36"/>
      <c r="J9" s="37"/>
      <c r="K9" s="37"/>
      <c r="L9" s="36"/>
      <c r="M9" s="38"/>
      <c r="N9" s="35"/>
      <c r="O9" s="35"/>
      <c r="P9" s="35"/>
      <c r="Q9" s="35"/>
    </row>
    <row r="10" spans="1:17">
      <c r="A10" s="24" t="s">
        <v>17</v>
      </c>
      <c r="B10" s="24" t="s">
        <v>25</v>
      </c>
      <c r="C10" s="34"/>
      <c r="D10" s="34"/>
      <c r="E10" s="34"/>
      <c r="F10" s="34"/>
      <c r="G10" s="34"/>
      <c r="H10" s="34"/>
      <c r="I10" s="36"/>
      <c r="J10" s="37"/>
      <c r="K10" s="37"/>
      <c r="L10" s="36"/>
      <c r="M10" s="38"/>
      <c r="N10" s="35"/>
      <c r="O10" s="35"/>
      <c r="P10" s="35"/>
      <c r="Q10" s="35"/>
    </row>
    <row r="11" spans="1:17">
      <c r="A11" s="24" t="s">
        <v>17</v>
      </c>
      <c r="B11" s="24" t="s">
        <v>26</v>
      </c>
      <c r="C11" s="34"/>
      <c r="D11" s="34"/>
      <c r="E11" s="34"/>
      <c r="F11" s="34"/>
      <c r="G11" s="34"/>
      <c r="H11" s="34"/>
      <c r="I11" s="36"/>
      <c r="J11" s="37"/>
      <c r="K11" s="37"/>
      <c r="L11" s="36"/>
      <c r="M11" s="38"/>
      <c r="N11" s="35"/>
      <c r="O11" s="35"/>
      <c r="P11" s="35"/>
      <c r="Q11" s="35"/>
    </row>
    <row r="12" spans="1:17">
      <c r="A12" s="24" t="s">
        <v>17</v>
      </c>
      <c r="B12" s="24" t="s">
        <v>27</v>
      </c>
      <c r="C12" s="33">
        <v>3100</v>
      </c>
      <c r="D12" s="33">
        <v>2349</v>
      </c>
      <c r="E12" s="33">
        <v>2002.03</v>
      </c>
      <c r="F12" s="33">
        <v>139</v>
      </c>
      <c r="G12" s="33">
        <v>387266.22</v>
      </c>
      <c r="H12" s="46">
        <v>0</v>
      </c>
      <c r="I12" s="36">
        <v>193.436771676748</v>
      </c>
      <c r="J12" s="37">
        <v>0.757741935483871</v>
      </c>
      <c r="K12" s="37">
        <v>0.059174116645381</v>
      </c>
      <c r="L12" s="36">
        <v>0.852290336313325</v>
      </c>
      <c r="M12" s="38">
        <v>0</v>
      </c>
      <c r="N12" s="35">
        <v>0.00464872813911461</v>
      </c>
      <c r="O12" s="35">
        <v>0.0995400012880412</v>
      </c>
      <c r="P12" s="35">
        <v>1.00203</v>
      </c>
      <c r="Q12" s="35">
        <v>3.25341327988512</v>
      </c>
    </row>
    <row r="13" spans="1:17">
      <c r="A13" s="24" t="s">
        <v>17</v>
      </c>
      <c r="B13" s="24" t="s">
        <v>28</v>
      </c>
      <c r="C13" s="33"/>
      <c r="D13" s="33"/>
      <c r="E13" s="33"/>
      <c r="F13" s="33"/>
      <c r="G13" s="33"/>
      <c r="H13" s="46"/>
      <c r="I13" s="36">
        <v>0</v>
      </c>
      <c r="J13" s="37">
        <v>0</v>
      </c>
      <c r="K13" s="37">
        <v>0</v>
      </c>
      <c r="L13" s="36">
        <v>0</v>
      </c>
      <c r="M13" s="38">
        <v>0</v>
      </c>
      <c r="N13" s="35">
        <v>0</v>
      </c>
      <c r="O13" s="35">
        <v>0</v>
      </c>
      <c r="P13" s="35">
        <v>0</v>
      </c>
      <c r="Q13" s="35">
        <v>0</v>
      </c>
    </row>
    <row r="14" spans="1:17">
      <c r="A14" s="24" t="s">
        <v>17</v>
      </c>
      <c r="B14" s="24" t="s">
        <v>29</v>
      </c>
      <c r="C14" s="33">
        <v>2374234</v>
      </c>
      <c r="D14" s="33">
        <v>230409</v>
      </c>
      <c r="E14" s="33">
        <v>11563.89</v>
      </c>
      <c r="F14" s="33">
        <v>9</v>
      </c>
      <c r="G14" s="33">
        <v>10732.84</v>
      </c>
      <c r="H14" s="46">
        <v>0</v>
      </c>
      <c r="I14" s="36">
        <v>0.928134044858607</v>
      </c>
      <c r="J14" s="37">
        <v>0.0970456155543219</v>
      </c>
      <c r="K14" s="37">
        <v>3.90609741806961e-5</v>
      </c>
      <c r="L14" s="36">
        <v>0.0501885343020455</v>
      </c>
      <c r="M14" s="38">
        <v>0</v>
      </c>
      <c r="N14" s="35">
        <v>0.0268514362125573</v>
      </c>
      <c r="O14" s="35">
        <v>0.00275868860295726</v>
      </c>
      <c r="P14" s="35">
        <v>0</v>
      </c>
      <c r="Q14" s="35">
        <v>0</v>
      </c>
    </row>
    <row r="15" spans="1:17">
      <c r="A15" s="24" t="s">
        <v>17</v>
      </c>
      <c r="B15" s="24" t="s">
        <v>30</v>
      </c>
      <c r="C15" s="33">
        <v>150056</v>
      </c>
      <c r="D15" s="33">
        <v>7485</v>
      </c>
      <c r="E15" s="33">
        <v>29314</v>
      </c>
      <c r="F15" s="33">
        <v>51</v>
      </c>
      <c r="G15" s="33">
        <v>172076.41</v>
      </c>
      <c r="H15" s="33">
        <v>203</v>
      </c>
      <c r="I15" s="36">
        <v>5.87011018625913</v>
      </c>
      <c r="J15" s="37">
        <v>0.0498813776190222</v>
      </c>
      <c r="K15" s="37">
        <v>0.00681362725450902</v>
      </c>
      <c r="L15" s="36">
        <v>3.91636606546426</v>
      </c>
      <c r="M15" s="38">
        <v>144.4039408867</v>
      </c>
      <c r="N15" s="35">
        <v>0.0680673200051976</v>
      </c>
      <c r="O15" s="35">
        <v>0.0442292283407562</v>
      </c>
      <c r="P15" s="35">
        <v>1.62294201861131</v>
      </c>
      <c r="Q15" s="35">
        <v>1.88208365403021</v>
      </c>
    </row>
    <row r="16" spans="1:17">
      <c r="A16" s="24" t="s">
        <v>17</v>
      </c>
      <c r="B16" s="24" t="s">
        <v>31</v>
      </c>
      <c r="C16" s="34">
        <v>31325070</v>
      </c>
      <c r="D16" s="34">
        <v>4128490</v>
      </c>
      <c r="E16" s="34">
        <v>430661.88</v>
      </c>
      <c r="F16" s="34">
        <v>1383</v>
      </c>
      <c r="G16" s="34">
        <v>3890558.72</v>
      </c>
      <c r="H16" s="34">
        <v>12325</v>
      </c>
      <c r="I16" s="36">
        <v>9.03390548520338</v>
      </c>
      <c r="J16" s="37">
        <v>0.1317950765952</v>
      </c>
      <c r="K16" s="37">
        <v>0.000334989306017454</v>
      </c>
      <c r="L16" s="36">
        <v>0.104314623506415</v>
      </c>
      <c r="M16" s="38">
        <v>34.9421403651116</v>
      </c>
      <c r="N16" s="35">
        <v>1</v>
      </c>
      <c r="O16" s="35">
        <v>1</v>
      </c>
      <c r="P16" s="35">
        <v>0.709163111812617</v>
      </c>
      <c r="Q16" s="35">
        <v>0.47053776127654</v>
      </c>
    </row>
    <row r="17" spans="1:17">
      <c r="A17" s="24" t="s">
        <v>17</v>
      </c>
      <c r="B17" s="24" t="s">
        <v>32</v>
      </c>
      <c r="C17" s="35">
        <v>-0.0273128693873982</v>
      </c>
      <c r="D17" s="35">
        <v>-0.0849038808725274</v>
      </c>
      <c r="E17" s="35">
        <v>0.709163111812617</v>
      </c>
      <c r="F17" s="35">
        <v>1.07035928143713</v>
      </c>
      <c r="G17" s="35">
        <v>1.51338889610137</v>
      </c>
      <c r="H17" s="35">
        <v>0.456511463011108</v>
      </c>
      <c r="I17" s="35">
        <v>0.47053776127654</v>
      </c>
      <c r="J17" s="35">
        <v>-0.0592081561199037</v>
      </c>
      <c r="K17" s="35">
        <v>1.26245007290729</v>
      </c>
      <c r="L17" s="35">
        <v>0.867741624171977</v>
      </c>
      <c r="M17" s="35">
        <v>0.17346354987086</v>
      </c>
      <c r="N17" s="35" t="s">
        <v>33</v>
      </c>
      <c r="O17" s="35" t="s">
        <v>33</v>
      </c>
      <c r="P17" s="35" t="s">
        <v>33</v>
      </c>
      <c r="Q17" s="35" t="s">
        <v>33</v>
      </c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workbookViewId="0">
      <selection activeCell="G19" sqref="G19"/>
    </sheetView>
  </sheetViews>
  <sheetFormatPr defaultColWidth="11" defaultRowHeight="16.8"/>
  <cols>
    <col min="1" max="1" width="27.5" style="32" customWidth="1"/>
    <col min="2" max="2" width="14.6634615384615" style="32" customWidth="1"/>
    <col min="3" max="3" width="13" style="32" customWidth="1"/>
    <col min="4" max="4" width="13" style="32"/>
    <col min="5" max="5" width="14" style="32"/>
    <col min="6" max="6" width="11" style="32"/>
    <col min="7" max="7" width="14" style="32"/>
    <col min="8" max="8" width="11" style="32"/>
    <col min="9" max="10" width="8.5" style="32" customWidth="1"/>
    <col min="11" max="11" width="11.1634615384615" style="32" customWidth="1"/>
    <col min="12" max="12" width="8.5" style="32" customWidth="1"/>
    <col min="13" max="15" width="9.33653846153846" style="32" customWidth="1"/>
    <col min="16" max="16" width="11.8365384615385" style="32" customWidth="1"/>
    <col min="17" max="17" width="9.33653846153846" style="32" customWidth="1"/>
    <col min="18" max="16384" width="11" style="32"/>
  </cols>
  <sheetData>
    <row r="1" spans="1:17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44" t="s">
        <v>42</v>
      </c>
      <c r="C2" s="34">
        <v>32871</v>
      </c>
      <c r="D2" s="34">
        <v>5986</v>
      </c>
      <c r="E2" s="34">
        <v>9433.42</v>
      </c>
      <c r="F2" s="34">
        <v>117</v>
      </c>
      <c r="G2" s="34">
        <v>46038.63</v>
      </c>
      <c r="H2" s="34">
        <v>390</v>
      </c>
      <c r="I2" s="36">
        <v>4.88037530397247</v>
      </c>
      <c r="J2" s="37">
        <v>0.182105807550729</v>
      </c>
      <c r="K2" s="37">
        <v>0.0195456064149683</v>
      </c>
      <c r="L2" s="36">
        <v>1.57591379886402</v>
      </c>
      <c r="M2" s="38">
        <v>24.1882564102564</v>
      </c>
      <c r="N2" s="35">
        <v>0.0425034130077271</v>
      </c>
      <c r="O2" s="35">
        <v>0.0248954085941551</v>
      </c>
      <c r="P2" s="35">
        <v>0.150417073170732</v>
      </c>
      <c r="Q2" s="35">
        <v>-0.00593083253909621</v>
      </c>
    </row>
    <row r="3" spans="1:17">
      <c r="A3" s="24" t="s">
        <v>17</v>
      </c>
      <c r="B3" s="44" t="s">
        <v>43</v>
      </c>
      <c r="C3" s="34">
        <v>714516</v>
      </c>
      <c r="D3" s="34">
        <v>44190</v>
      </c>
      <c r="E3" s="34">
        <v>94379.91</v>
      </c>
      <c r="F3" s="34">
        <v>1131</v>
      </c>
      <c r="G3" s="34">
        <v>467721.53</v>
      </c>
      <c r="H3" s="34">
        <v>5060</v>
      </c>
      <c r="I3" s="36">
        <v>4.95573189251823</v>
      </c>
      <c r="J3" s="37">
        <v>0.0618460608299884</v>
      </c>
      <c r="K3" s="37">
        <v>0.0255940257976918</v>
      </c>
      <c r="L3" s="36">
        <v>2.13577528852682</v>
      </c>
      <c r="M3" s="38">
        <v>18.6521561264822</v>
      </c>
      <c r="N3" s="35">
        <v>0.425240082002298</v>
      </c>
      <c r="O3" s="35">
        <v>0.252920614658459</v>
      </c>
      <c r="P3" s="35">
        <v>0.260256417960073</v>
      </c>
      <c r="Q3" s="35">
        <v>-0.156868402520877</v>
      </c>
    </row>
    <row r="4" spans="1:17">
      <c r="A4" s="24" t="s">
        <v>17</v>
      </c>
      <c r="B4" s="44" t="s">
        <v>44</v>
      </c>
      <c r="C4" s="34">
        <v>1023674</v>
      </c>
      <c r="D4" s="34">
        <v>28445</v>
      </c>
      <c r="E4" s="34">
        <v>58662.05</v>
      </c>
      <c r="F4" s="34">
        <v>846</v>
      </c>
      <c r="G4" s="34">
        <v>367624.36</v>
      </c>
      <c r="H4" s="34">
        <v>2859</v>
      </c>
      <c r="I4" s="36">
        <v>6.26681747398872</v>
      </c>
      <c r="J4" s="37">
        <v>0.0277871666174974</v>
      </c>
      <c r="K4" s="37">
        <v>0.0297416066092459</v>
      </c>
      <c r="L4" s="36">
        <v>2.06229741606609</v>
      </c>
      <c r="M4" s="38">
        <v>20.5183805526408</v>
      </c>
      <c r="N4" s="35">
        <v>0.264308950415644</v>
      </c>
      <c r="O4" s="35">
        <v>0.198793027754405</v>
      </c>
      <c r="P4" s="35">
        <v>0.0397546009660199</v>
      </c>
      <c r="Q4" s="35">
        <v>-0.112136958109053</v>
      </c>
    </row>
    <row r="5" spans="1:17">
      <c r="A5" s="24" t="s">
        <v>17</v>
      </c>
      <c r="B5" s="44" t="s">
        <v>21</v>
      </c>
      <c r="C5" s="34">
        <v>47598</v>
      </c>
      <c r="D5" s="34">
        <v>1581</v>
      </c>
      <c r="E5" s="34">
        <v>3540.58</v>
      </c>
      <c r="F5" s="34">
        <v>95</v>
      </c>
      <c r="G5" s="34">
        <v>39235.84</v>
      </c>
      <c r="H5" s="34">
        <v>256</v>
      </c>
      <c r="I5" s="36">
        <v>11.0817549667004</v>
      </c>
      <c r="J5" s="37">
        <v>0.0332156813311484</v>
      </c>
      <c r="K5" s="37">
        <v>0.0600885515496521</v>
      </c>
      <c r="L5" s="36">
        <v>2.23945604048071</v>
      </c>
      <c r="M5" s="38">
        <v>13.830390625</v>
      </c>
      <c r="N5" s="35">
        <v>0.0159525107571696</v>
      </c>
      <c r="O5" s="35">
        <v>0.0212167970318599</v>
      </c>
      <c r="P5" s="35">
        <v>6.67156352920783</v>
      </c>
      <c r="Q5" s="35">
        <v>-0.681303465146093</v>
      </c>
    </row>
    <row r="6" spans="1:17">
      <c r="A6" s="24" t="s">
        <v>17</v>
      </c>
      <c r="B6" s="44" t="s">
        <v>22</v>
      </c>
      <c r="C6" s="34">
        <v>418036</v>
      </c>
      <c r="D6" s="34">
        <v>47654</v>
      </c>
      <c r="E6" s="34">
        <v>31682.62</v>
      </c>
      <c r="F6" s="34">
        <v>12</v>
      </c>
      <c r="G6" s="34">
        <v>8244.55</v>
      </c>
      <c r="H6" s="34">
        <v>3306</v>
      </c>
      <c r="I6" s="36">
        <v>0.260223112861247</v>
      </c>
      <c r="J6" s="37">
        <v>0.113994966940646</v>
      </c>
      <c r="K6" s="37">
        <v>0.000251815167666932</v>
      </c>
      <c r="L6" s="36">
        <v>0.664847022285642</v>
      </c>
      <c r="M6" s="38">
        <v>9.58336963097399</v>
      </c>
      <c r="N6" s="35">
        <v>0.142749870463403</v>
      </c>
      <c r="O6" s="35">
        <v>0.00445824389050981</v>
      </c>
      <c r="P6" s="35">
        <v>2.80680843292136</v>
      </c>
      <c r="Q6" s="35">
        <v>0</v>
      </c>
    </row>
    <row r="7" spans="1:17">
      <c r="A7" s="24" t="s">
        <v>17</v>
      </c>
      <c r="B7" s="44" t="s">
        <v>23</v>
      </c>
      <c r="C7" s="34">
        <v>4723041</v>
      </c>
      <c r="D7" s="34">
        <v>505670</v>
      </c>
      <c r="E7" s="34">
        <v>15481.55</v>
      </c>
      <c r="F7" s="34">
        <v>284</v>
      </c>
      <c r="G7" s="34">
        <v>426355.64</v>
      </c>
      <c r="H7" s="34">
        <v>0</v>
      </c>
      <c r="I7" s="36">
        <v>27.5395964874318</v>
      </c>
      <c r="J7" s="37">
        <v>0.107064495099661</v>
      </c>
      <c r="K7" s="37">
        <v>0.000561631103288706</v>
      </c>
      <c r="L7" s="36">
        <v>0.0306159155180256</v>
      </c>
      <c r="M7" s="38">
        <v>0</v>
      </c>
      <c r="N7" s="35">
        <v>0.0697539931064002</v>
      </c>
      <c r="O7" s="35">
        <v>0.230551992190526</v>
      </c>
      <c r="P7" s="35">
        <v>0.703969366842843</v>
      </c>
      <c r="Q7" s="35">
        <v>0.950665936031519</v>
      </c>
    </row>
    <row r="8" spans="1:17">
      <c r="A8" s="24" t="s">
        <v>17</v>
      </c>
      <c r="B8" s="44" t="s">
        <v>45</v>
      </c>
      <c r="C8" s="34"/>
      <c r="D8" s="34"/>
      <c r="E8" s="34"/>
      <c r="F8" s="34"/>
      <c r="G8" s="34"/>
      <c r="H8" s="34"/>
      <c r="I8" s="36"/>
      <c r="J8" s="37"/>
      <c r="K8" s="37"/>
      <c r="L8" s="36"/>
      <c r="M8" s="38"/>
      <c r="N8" s="35"/>
      <c r="O8" s="35"/>
      <c r="P8" s="35"/>
      <c r="Q8" s="35"/>
    </row>
    <row r="9" spans="1:17">
      <c r="A9" s="24" t="s">
        <v>17</v>
      </c>
      <c r="B9" s="44" t="s">
        <v>24</v>
      </c>
      <c r="C9" s="34"/>
      <c r="D9" s="34"/>
      <c r="E9" s="34"/>
      <c r="F9" s="34"/>
      <c r="G9" s="34"/>
      <c r="H9" s="34"/>
      <c r="I9" s="36"/>
      <c r="J9" s="37"/>
      <c r="K9" s="37"/>
      <c r="L9" s="36"/>
      <c r="M9" s="38"/>
      <c r="N9" s="35"/>
      <c r="O9" s="35"/>
      <c r="P9" s="35"/>
      <c r="Q9" s="35"/>
    </row>
    <row r="10" spans="1:17">
      <c r="A10" s="24" t="s">
        <v>17</v>
      </c>
      <c r="B10" s="44" t="s">
        <v>25</v>
      </c>
      <c r="C10" s="34"/>
      <c r="D10" s="34"/>
      <c r="E10" s="34"/>
      <c r="F10" s="34"/>
      <c r="G10" s="34"/>
      <c r="H10" s="34"/>
      <c r="I10" s="36"/>
      <c r="J10" s="37"/>
      <c r="K10" s="37"/>
      <c r="L10" s="36"/>
      <c r="M10" s="38"/>
      <c r="N10" s="35"/>
      <c r="O10" s="35"/>
      <c r="P10" s="35"/>
      <c r="Q10" s="35"/>
    </row>
    <row r="11" spans="1:17">
      <c r="A11" s="24" t="s">
        <v>17</v>
      </c>
      <c r="B11" s="44" t="s">
        <v>26</v>
      </c>
      <c r="C11" s="34"/>
      <c r="D11" s="34"/>
      <c r="E11" s="34"/>
      <c r="F11" s="34"/>
      <c r="G11" s="34"/>
      <c r="H11" s="34"/>
      <c r="I11" s="36"/>
      <c r="J11" s="37"/>
      <c r="K11" s="37"/>
      <c r="L11" s="36"/>
      <c r="M11" s="38"/>
      <c r="N11" s="35"/>
      <c r="O11" s="35"/>
      <c r="P11" s="35"/>
      <c r="Q11" s="35"/>
    </row>
    <row r="12" spans="1:17">
      <c r="A12" s="24" t="s">
        <v>17</v>
      </c>
      <c r="B12" s="44" t="s">
        <v>27</v>
      </c>
      <c r="C12" s="34">
        <v>4399</v>
      </c>
      <c r="D12" s="34">
        <v>3674</v>
      </c>
      <c r="E12" s="34">
        <v>1507.76</v>
      </c>
      <c r="F12" s="34">
        <v>262</v>
      </c>
      <c r="G12" s="34">
        <v>484072.6</v>
      </c>
      <c r="H12" s="34">
        <v>0</v>
      </c>
      <c r="I12" s="36">
        <v>321.054146548522</v>
      </c>
      <c r="J12" s="37">
        <v>0.835189815867243</v>
      </c>
      <c r="K12" s="37">
        <v>0.0713119216113228</v>
      </c>
      <c r="L12" s="36">
        <v>0.410386499727817</v>
      </c>
      <c r="M12" s="38">
        <v>0</v>
      </c>
      <c r="N12" s="35">
        <v>0.00679339475996305</v>
      </c>
      <c r="O12" s="35">
        <v>0.26176246265875</v>
      </c>
      <c r="P12" s="35">
        <v>0.508212463739122</v>
      </c>
      <c r="Q12" s="35">
        <v>3.13190344216761</v>
      </c>
    </row>
    <row r="13" spans="1:17">
      <c r="A13" s="24" t="s">
        <v>17</v>
      </c>
      <c r="B13" s="44" t="s">
        <v>28</v>
      </c>
      <c r="C13" s="34"/>
      <c r="D13" s="34"/>
      <c r="E13" s="34"/>
      <c r="F13" s="34"/>
      <c r="G13" s="34"/>
      <c r="H13" s="34"/>
      <c r="I13" s="36"/>
      <c r="J13" s="37"/>
      <c r="K13" s="37"/>
      <c r="L13" s="36"/>
      <c r="M13" s="38"/>
      <c r="N13" s="35"/>
      <c r="O13" s="35"/>
      <c r="P13" s="35"/>
      <c r="Q13" s="35"/>
    </row>
    <row r="14" spans="1:17">
      <c r="A14" s="24" t="s">
        <v>17</v>
      </c>
      <c r="B14" s="44" t="s">
        <v>29</v>
      </c>
      <c r="C14" s="34">
        <v>3032217</v>
      </c>
      <c r="D14" s="34">
        <v>270070</v>
      </c>
      <c r="E14" s="34">
        <v>7257.11</v>
      </c>
      <c r="F14" s="34">
        <v>9</v>
      </c>
      <c r="G14" s="34">
        <v>9988.81</v>
      </c>
      <c r="H14" s="34">
        <v>0</v>
      </c>
      <c r="I14" s="36">
        <v>1.37641705858117</v>
      </c>
      <c r="J14" s="37">
        <v>0.0890668444903514</v>
      </c>
      <c r="K14" s="37">
        <v>3.33246935979561e-5</v>
      </c>
      <c r="L14" s="36">
        <v>0.0268712185729626</v>
      </c>
      <c r="M14" s="38">
        <v>0</v>
      </c>
      <c r="N14" s="35">
        <v>0.0326977854873955</v>
      </c>
      <c r="O14" s="35">
        <v>0.0054014532213357</v>
      </c>
      <c r="P14" s="35">
        <v>0</v>
      </c>
      <c r="Q14" s="35">
        <v>0</v>
      </c>
    </row>
    <row r="15" spans="1:17">
      <c r="A15" s="24" t="s">
        <v>17</v>
      </c>
      <c r="B15" s="24" t="s">
        <v>30</v>
      </c>
      <c r="C15" s="34">
        <v>156260</v>
      </c>
      <c r="D15" s="34">
        <v>6223</v>
      </c>
      <c r="E15" s="34">
        <v>11560</v>
      </c>
      <c r="F15" s="34">
        <v>50</v>
      </c>
      <c r="G15" s="34">
        <v>26925.18</v>
      </c>
      <c r="H15" s="34">
        <v>159</v>
      </c>
      <c r="I15" s="36">
        <v>2.3291678200692</v>
      </c>
      <c r="J15" s="37">
        <v>0.0398246512223218</v>
      </c>
      <c r="K15" s="37">
        <v>0.00803470994697091</v>
      </c>
      <c r="L15" s="36">
        <v>1.85762493973968</v>
      </c>
      <c r="M15" s="38">
        <v>72.7044025157233</v>
      </c>
      <c r="N15" s="35">
        <v>0.0520849760075695</v>
      </c>
      <c r="O15" s="35">
        <v>0.0145598024435387</v>
      </c>
      <c r="P15" s="35">
        <v>23.3368421052632</v>
      </c>
      <c r="Q15" s="35">
        <v>0</v>
      </c>
    </row>
    <row r="16" spans="1:17">
      <c r="A16" s="24" t="s">
        <v>17</v>
      </c>
      <c r="B16" s="24" t="s">
        <v>31</v>
      </c>
      <c r="C16" s="34">
        <v>9996352</v>
      </c>
      <c r="D16" s="34">
        <v>907270</v>
      </c>
      <c r="E16" s="34">
        <v>221945</v>
      </c>
      <c r="F16" s="34">
        <v>2756</v>
      </c>
      <c r="G16" s="34">
        <v>1849281.96</v>
      </c>
      <c r="H16" s="34">
        <v>11871</v>
      </c>
      <c r="I16" s="36">
        <v>8.332163193584</v>
      </c>
      <c r="J16" s="37">
        <v>0.0907601092878682</v>
      </c>
      <c r="K16" s="37">
        <v>0.00303768448201748</v>
      </c>
      <c r="L16" s="36">
        <v>0.244629492874227</v>
      </c>
      <c r="M16" s="38">
        <v>18.6964029989049</v>
      </c>
      <c r="N16" s="35">
        <v>1</v>
      </c>
      <c r="O16" s="35">
        <v>1</v>
      </c>
      <c r="P16" s="35">
        <v>0.397172228412432</v>
      </c>
      <c r="Q16" s="35">
        <v>0.202539869203724</v>
      </c>
    </row>
    <row r="17" spans="1:17">
      <c r="A17" s="24" t="s">
        <v>17</v>
      </c>
      <c r="B17" s="24" t="s">
        <v>32</v>
      </c>
      <c r="C17" s="35">
        <v>0.278471331584087</v>
      </c>
      <c r="D17" s="35">
        <v>0.148267164143214</v>
      </c>
      <c r="E17" s="35">
        <v>0.397172228412432</v>
      </c>
      <c r="F17" s="35">
        <v>0.324363286881307</v>
      </c>
      <c r="G17" s="35">
        <v>0.680155308810161</v>
      </c>
      <c r="H17" s="35">
        <v>0.402031416085981</v>
      </c>
      <c r="I17" s="35">
        <v>0.202539869203724</v>
      </c>
      <c r="J17" s="35">
        <v>-0.101843634835006</v>
      </c>
      <c r="K17" s="35">
        <v>0.153358145418613</v>
      </c>
      <c r="L17" s="35">
        <v>0.216765812035512</v>
      </c>
      <c r="M17" s="35">
        <v>-0.00346581939448598</v>
      </c>
      <c r="N17" s="35" t="s">
        <v>33</v>
      </c>
      <c r="O17" s="35" t="s">
        <v>33</v>
      </c>
      <c r="P17" s="35" t="s">
        <v>33</v>
      </c>
      <c r="Q17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2" sqref="A2:Q6"/>
    </sheetView>
  </sheetViews>
  <sheetFormatPr defaultColWidth="10.8365384615385" defaultRowHeight="16.8" outlineLevelRow="5"/>
  <cols>
    <col min="1" max="1" width="28.375" style="32" customWidth="1"/>
    <col min="2" max="2" width="10.8365384615385" style="32"/>
    <col min="3" max="3" width="11" style="32"/>
    <col min="4" max="6" width="10.8365384615385" style="32"/>
    <col min="7" max="7" width="11" style="32"/>
    <col min="8" max="8" width="10.8365384615385" style="32"/>
    <col min="9" max="10" width="8.5" style="32" customWidth="1"/>
    <col min="11" max="11" width="11.1634615384615" style="32" customWidth="1"/>
    <col min="12" max="12" width="8.5" style="32" customWidth="1"/>
    <col min="13" max="15" width="9.33653846153846" style="32" customWidth="1"/>
    <col min="16" max="16" width="14.8365384615385" style="32" customWidth="1"/>
    <col min="17" max="17" width="9.33653846153846" style="32" customWidth="1"/>
    <col min="18" max="16384" width="10.8365384615385" style="32"/>
  </cols>
  <sheetData>
    <row r="1" spans="1:17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43</v>
      </c>
      <c r="C2" s="34">
        <v>97886</v>
      </c>
      <c r="D2" s="34">
        <v>9831</v>
      </c>
      <c r="E2" s="34">
        <v>16334.46</v>
      </c>
      <c r="F2" s="34">
        <v>757</v>
      </c>
      <c r="G2" s="34">
        <v>109846.47</v>
      </c>
      <c r="H2" s="34">
        <v>1455</v>
      </c>
      <c r="I2" s="36">
        <v>6.7248302055899</v>
      </c>
      <c r="J2" s="37">
        <v>0.100433156937662</v>
      </c>
      <c r="K2" s="37">
        <v>0.0770013223476757</v>
      </c>
      <c r="L2" s="36">
        <v>1.66152578577968</v>
      </c>
      <c r="M2" s="38">
        <v>11.2264329896907</v>
      </c>
      <c r="N2" s="35">
        <v>1</v>
      </c>
      <c r="O2" s="35">
        <v>1</v>
      </c>
      <c r="P2" s="35">
        <v>0.348604538264152</v>
      </c>
      <c r="Q2" s="35">
        <v>0.0505855526951102</v>
      </c>
    </row>
    <row r="3" spans="1:17">
      <c r="A3" s="24" t="s">
        <v>17</v>
      </c>
      <c r="B3" s="24" t="s">
        <v>44</v>
      </c>
      <c r="C3" s="34"/>
      <c r="D3" s="34"/>
      <c r="E3" s="34"/>
      <c r="F3" s="34"/>
      <c r="G3" s="34"/>
      <c r="H3" s="34"/>
      <c r="I3" s="36"/>
      <c r="J3" s="37"/>
      <c r="K3" s="37"/>
      <c r="L3" s="36"/>
      <c r="M3" s="38"/>
      <c r="N3" s="35"/>
      <c r="O3" s="35"/>
      <c r="P3" s="35"/>
      <c r="Q3" s="35"/>
    </row>
    <row r="4" spans="1:17">
      <c r="A4" s="24" t="s">
        <v>17</v>
      </c>
      <c r="B4" s="24" t="s">
        <v>25</v>
      </c>
      <c r="C4" s="34"/>
      <c r="D4" s="34"/>
      <c r="E4" s="34"/>
      <c r="F4" s="34"/>
      <c r="G4" s="34"/>
      <c r="H4" s="34"/>
      <c r="I4" s="36"/>
      <c r="J4" s="37"/>
      <c r="K4" s="37"/>
      <c r="L4" s="36"/>
      <c r="M4" s="38"/>
      <c r="N4" s="35"/>
      <c r="O4" s="35"/>
      <c r="P4" s="35"/>
      <c r="Q4" s="35"/>
    </row>
    <row r="5" spans="1:17">
      <c r="A5" s="24" t="s">
        <v>17</v>
      </c>
      <c r="B5" s="24" t="s">
        <v>31</v>
      </c>
      <c r="C5" s="34">
        <v>97886</v>
      </c>
      <c r="D5" s="34">
        <v>9831</v>
      </c>
      <c r="E5" s="34">
        <v>16334.46</v>
      </c>
      <c r="F5" s="34">
        <v>757</v>
      </c>
      <c r="G5" s="34">
        <v>109846.47</v>
      </c>
      <c r="H5" s="34">
        <v>1455</v>
      </c>
      <c r="I5" s="36">
        <v>6.7248302055899</v>
      </c>
      <c r="J5" s="37">
        <v>0.100433156937662</v>
      </c>
      <c r="K5" s="37">
        <v>0.0770013223476757</v>
      </c>
      <c r="L5" s="36">
        <v>1.66152578577968</v>
      </c>
      <c r="M5" s="38">
        <v>11.2264329896907</v>
      </c>
      <c r="N5" s="35">
        <v>1</v>
      </c>
      <c r="O5" s="35">
        <v>1</v>
      </c>
      <c r="P5" s="35">
        <v>0.348604538264152</v>
      </c>
      <c r="Q5" s="35">
        <v>0.0505855526951102</v>
      </c>
    </row>
    <row r="6" spans="1:17">
      <c r="A6" s="24" t="s">
        <v>17</v>
      </c>
      <c r="B6" s="24" t="s">
        <v>32</v>
      </c>
      <c r="C6" s="35">
        <v>-0.180671460019586</v>
      </c>
      <c r="D6" s="35">
        <v>0.209671465485419</v>
      </c>
      <c r="E6" s="35">
        <v>0.348604538264152</v>
      </c>
      <c r="F6" s="35">
        <v>0.532388663967611</v>
      </c>
      <c r="G6" s="35">
        <v>0.416824444199378</v>
      </c>
      <c r="H6" s="35">
        <v>0.39367816091954</v>
      </c>
      <c r="I6" s="35">
        <v>0.0505855526951102</v>
      </c>
      <c r="J6" s="35">
        <v>0.476418074627715</v>
      </c>
      <c r="K6" s="35">
        <v>0.266780863804778</v>
      </c>
      <c r="L6" s="35">
        <v>0.11485190544937</v>
      </c>
      <c r="M6" s="35">
        <v>-0.032341485946543</v>
      </c>
      <c r="N6" s="35" t="s">
        <v>33</v>
      </c>
      <c r="O6" s="35" t="s">
        <v>33</v>
      </c>
      <c r="P6" s="35" t="s">
        <v>33</v>
      </c>
      <c r="Q6" s="35" t="s">
        <v>33</v>
      </c>
    </row>
  </sheetData>
  <sheetProtection formatCells="0" insertHyperlinks="0" autoFilter="0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2" sqref="A2:Q6"/>
    </sheetView>
  </sheetViews>
  <sheetFormatPr defaultColWidth="11" defaultRowHeight="16.8" outlineLevelRow="5"/>
  <cols>
    <col min="1" max="1" width="27.25" style="32" customWidth="1"/>
    <col min="2" max="2" width="9.33653846153846" style="32" customWidth="1"/>
    <col min="3" max="3" width="11.6634615384615" style="32"/>
    <col min="4" max="8" width="11" style="32"/>
    <col min="9" max="10" width="8.5" style="32" customWidth="1"/>
    <col min="11" max="11" width="11.1634615384615" style="32" customWidth="1"/>
    <col min="12" max="12" width="8.5" style="32" customWidth="1"/>
    <col min="13" max="17" width="9.33653846153846" style="32" customWidth="1"/>
    <col min="18" max="16384" width="11" style="32"/>
  </cols>
  <sheetData>
    <row r="1" spans="1:17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42</v>
      </c>
      <c r="C2" s="34">
        <v>1258</v>
      </c>
      <c r="D2" s="34">
        <v>315</v>
      </c>
      <c r="E2" s="34">
        <v>534.28</v>
      </c>
      <c r="F2" s="34">
        <v>9</v>
      </c>
      <c r="G2" s="34">
        <v>32995.45</v>
      </c>
      <c r="H2" s="34">
        <v>37</v>
      </c>
      <c r="I2" s="36">
        <v>61.7568503406454</v>
      </c>
      <c r="J2" s="37">
        <v>0.250397456279809</v>
      </c>
      <c r="K2" s="37">
        <v>0.0285714285714286</v>
      </c>
      <c r="L2" s="36">
        <v>1.69612698412698</v>
      </c>
      <c r="M2" s="38">
        <v>14.44</v>
      </c>
      <c r="N2" s="35">
        <v>0.0634437356613927</v>
      </c>
      <c r="O2" s="35">
        <v>0.455748583255201</v>
      </c>
      <c r="P2" s="35">
        <v>0.170485913333041</v>
      </c>
      <c r="Q2" s="35">
        <v>9.52621961161413</v>
      </c>
    </row>
    <row r="3" spans="1:17">
      <c r="A3" s="24" t="s">
        <v>17</v>
      </c>
      <c r="B3" s="24" t="s">
        <v>43</v>
      </c>
      <c r="C3" s="34">
        <v>15737</v>
      </c>
      <c r="D3" s="34">
        <v>2209</v>
      </c>
      <c r="E3" s="34">
        <v>5496.77</v>
      </c>
      <c r="F3" s="34">
        <v>35</v>
      </c>
      <c r="G3" s="34">
        <v>29267.55</v>
      </c>
      <c r="H3" s="34">
        <v>217</v>
      </c>
      <c r="I3" s="36">
        <v>5.32449966070983</v>
      </c>
      <c r="J3" s="37">
        <v>0.14036982906526</v>
      </c>
      <c r="K3" s="37">
        <v>0.01584427342689</v>
      </c>
      <c r="L3" s="36">
        <v>2.4883521955636</v>
      </c>
      <c r="M3" s="38">
        <v>25.3307373271889</v>
      </c>
      <c r="N3" s="35">
        <v>0.652720713617343</v>
      </c>
      <c r="O3" s="35">
        <v>0.404257085381492</v>
      </c>
      <c r="P3" s="35">
        <v>0.36175288737384</v>
      </c>
      <c r="Q3" s="35">
        <v>1.25486441582369</v>
      </c>
    </row>
    <row r="4" spans="1:17">
      <c r="A4" s="24" t="s">
        <v>17</v>
      </c>
      <c r="B4" s="24" t="s">
        <v>44</v>
      </c>
      <c r="C4" s="34">
        <v>54995</v>
      </c>
      <c r="D4" s="34">
        <v>1680</v>
      </c>
      <c r="E4" s="34">
        <v>2390.27</v>
      </c>
      <c r="F4" s="34">
        <v>24</v>
      </c>
      <c r="G4" s="34">
        <v>10135.36</v>
      </c>
      <c r="H4" s="34">
        <v>59</v>
      </c>
      <c r="I4" s="36">
        <v>4.2402573767817</v>
      </c>
      <c r="J4" s="37">
        <v>0.0305482316574234</v>
      </c>
      <c r="K4" s="37">
        <v>0.0142857142857143</v>
      </c>
      <c r="L4" s="36">
        <v>1.42277976190476</v>
      </c>
      <c r="M4" s="38">
        <v>40.5130508474576</v>
      </c>
      <c r="N4" s="35">
        <v>0.283835550721265</v>
      </c>
      <c r="O4" s="35">
        <v>0.139994331363307</v>
      </c>
      <c r="P4" s="35">
        <v>0.104652882402418</v>
      </c>
      <c r="Q4" s="35">
        <v>0.788759122426623</v>
      </c>
    </row>
    <row r="5" spans="1:17">
      <c r="A5" s="24" t="s">
        <v>17</v>
      </c>
      <c r="B5" s="24" t="s">
        <v>31</v>
      </c>
      <c r="C5" s="34">
        <v>71990</v>
      </c>
      <c r="D5" s="34">
        <v>4204</v>
      </c>
      <c r="E5" s="34">
        <v>8421.32</v>
      </c>
      <c r="F5" s="34">
        <v>68</v>
      </c>
      <c r="G5" s="34">
        <v>72398.36</v>
      </c>
      <c r="H5" s="34">
        <v>313</v>
      </c>
      <c r="I5" s="36">
        <v>8.59703229422466</v>
      </c>
      <c r="J5" s="37">
        <v>0.0583969995832755</v>
      </c>
      <c r="K5" s="37">
        <v>0.0161750713606089</v>
      </c>
      <c r="L5" s="36">
        <v>2.00316841103711</v>
      </c>
      <c r="M5" s="38">
        <v>26.9051757188498</v>
      </c>
      <c r="N5" s="35">
        <v>1</v>
      </c>
      <c r="O5" s="35">
        <v>1</v>
      </c>
      <c r="P5" s="35">
        <v>0.265066503225264</v>
      </c>
      <c r="Q5" s="35">
        <v>2.30058616477184</v>
      </c>
    </row>
    <row r="6" spans="1:17">
      <c r="A6" s="24" t="s">
        <v>17</v>
      </c>
      <c r="B6" s="24" t="s">
        <v>32</v>
      </c>
      <c r="C6" s="35">
        <v>-0.372165631758878</v>
      </c>
      <c r="D6" s="35">
        <v>0.0570781996479759</v>
      </c>
      <c r="E6" s="35">
        <v>0.265066503225264</v>
      </c>
      <c r="F6" s="35">
        <v>2.57894736842105</v>
      </c>
      <c r="G6" s="35">
        <v>3.1754609980616</v>
      </c>
      <c r="H6" s="35">
        <v>0.596938775510204</v>
      </c>
      <c r="I6" s="35">
        <v>2.30058616477184</v>
      </c>
      <c r="J6" s="35">
        <v>0.68368960528456</v>
      </c>
      <c r="K6" s="35">
        <v>2.38569783163904</v>
      </c>
      <c r="L6" s="35">
        <v>0.196757726766618</v>
      </c>
      <c r="M6" s="35">
        <v>-0.207817780727951</v>
      </c>
      <c r="N6" s="35" t="s">
        <v>33</v>
      </c>
      <c r="O6" s="35" t="s">
        <v>33</v>
      </c>
      <c r="P6" s="35" t="s">
        <v>33</v>
      </c>
      <c r="Q6" s="35" t="s">
        <v>33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B9" sqref="B9"/>
    </sheetView>
  </sheetViews>
  <sheetFormatPr defaultColWidth="9.23076923076923" defaultRowHeight="16.8" outlineLevelRow="7"/>
  <cols>
    <col min="1" max="1" width="28.2019230769231" customWidth="1"/>
    <col min="16" max="17" width="9.61538461538461"/>
  </cols>
  <sheetData>
    <row r="1" spans="1:17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5" t="s">
        <v>42</v>
      </c>
      <c r="C2" s="45">
        <v>2235</v>
      </c>
      <c r="D2" s="45">
        <v>313</v>
      </c>
      <c r="E2" s="45">
        <v>665.57</v>
      </c>
      <c r="F2" s="45">
        <v>6</v>
      </c>
      <c r="G2" s="45">
        <v>2927.06</v>
      </c>
      <c r="H2" s="45">
        <v>25</v>
      </c>
      <c r="I2" s="29">
        <v>4.39782442117283</v>
      </c>
      <c r="J2" s="30">
        <v>0.140044742729306</v>
      </c>
      <c r="K2" s="30">
        <v>0.0191693290734824</v>
      </c>
      <c r="L2" s="29">
        <v>2.12642172523962</v>
      </c>
      <c r="M2" s="31">
        <v>26.6228</v>
      </c>
      <c r="N2" s="26">
        <v>0.0359466587165665</v>
      </c>
      <c r="O2" s="26">
        <v>0.0434514306242434</v>
      </c>
      <c r="P2" s="26">
        <v>0.452797240957807</v>
      </c>
      <c r="Q2" s="26">
        <v>-0.598358307918724</v>
      </c>
    </row>
    <row r="3" spans="1:17">
      <c r="A3" s="24" t="s">
        <v>17</v>
      </c>
      <c r="B3" s="25" t="s">
        <v>43</v>
      </c>
      <c r="C3" s="45">
        <v>90055</v>
      </c>
      <c r="D3" s="45">
        <v>3224</v>
      </c>
      <c r="E3" s="45">
        <v>6386.07</v>
      </c>
      <c r="F3" s="45">
        <v>44</v>
      </c>
      <c r="G3" s="45">
        <v>14823.18</v>
      </c>
      <c r="H3" s="45">
        <v>259</v>
      </c>
      <c r="I3" s="29">
        <v>2.32117405540497</v>
      </c>
      <c r="J3" s="30">
        <v>0.0358003442340792</v>
      </c>
      <c r="K3" s="30">
        <v>0.0136476426799007</v>
      </c>
      <c r="L3" s="29">
        <v>1.98079094292804</v>
      </c>
      <c r="M3" s="31">
        <v>24.6566409266409</v>
      </c>
      <c r="N3" s="26">
        <v>0.344904185630518</v>
      </c>
      <c r="O3" s="26">
        <v>0.220046181971218</v>
      </c>
      <c r="P3" s="26">
        <v>0.774051243016799</v>
      </c>
      <c r="Q3" s="26">
        <v>0.118697745211115</v>
      </c>
    </row>
    <row r="4" spans="1:17">
      <c r="A4" s="24" t="s">
        <v>17</v>
      </c>
      <c r="B4" s="25" t="s">
        <v>44</v>
      </c>
      <c r="C4" s="45">
        <v>54534</v>
      </c>
      <c r="D4" s="45">
        <v>1720</v>
      </c>
      <c r="E4" s="45">
        <v>4555.42</v>
      </c>
      <c r="F4" s="45">
        <v>75</v>
      </c>
      <c r="G4" s="45">
        <v>30009.54</v>
      </c>
      <c r="H4" s="45">
        <v>194</v>
      </c>
      <c r="I4" s="29">
        <v>6.58765602293532</v>
      </c>
      <c r="J4" s="30">
        <v>0.0315399567242454</v>
      </c>
      <c r="K4" s="30">
        <v>0.0436046511627907</v>
      </c>
      <c r="L4" s="29">
        <v>2.6485</v>
      </c>
      <c r="M4" s="31">
        <v>23.4815463917526</v>
      </c>
      <c r="N4" s="26">
        <v>0.246032916223119</v>
      </c>
      <c r="O4" s="26">
        <v>0.445483674873579</v>
      </c>
      <c r="P4" s="26">
        <v>0.246895366246876</v>
      </c>
      <c r="Q4" s="26">
        <v>-0.00696034466138873</v>
      </c>
    </row>
    <row r="5" spans="1:17">
      <c r="A5" s="24" t="s">
        <v>17</v>
      </c>
      <c r="B5" s="25" t="s">
        <v>25</v>
      </c>
      <c r="C5" s="45">
        <v>19724</v>
      </c>
      <c r="D5" s="45">
        <v>767</v>
      </c>
      <c r="E5" s="45">
        <v>1434.43</v>
      </c>
      <c r="F5" s="45">
        <v>13</v>
      </c>
      <c r="G5" s="45">
        <v>4174.53</v>
      </c>
      <c r="H5" s="45">
        <v>88</v>
      </c>
      <c r="I5" s="29">
        <v>2.91023612166505</v>
      </c>
      <c r="J5" s="30">
        <v>0.0388866355708781</v>
      </c>
      <c r="K5" s="30">
        <v>0.0169491525423729</v>
      </c>
      <c r="L5" s="29">
        <v>1.87018252933507</v>
      </c>
      <c r="M5" s="31">
        <v>16.3003409090909</v>
      </c>
      <c r="N5" s="26">
        <v>0.0774718897528502</v>
      </c>
      <c r="O5" s="26">
        <v>0.0619697924483348</v>
      </c>
      <c r="P5" s="26">
        <v>-0.710767747971545</v>
      </c>
      <c r="Q5" s="26">
        <v>-0.75590092392057</v>
      </c>
    </row>
    <row r="6" spans="1:17">
      <c r="A6" s="24" t="s">
        <v>17</v>
      </c>
      <c r="B6" s="25" t="s">
        <v>30</v>
      </c>
      <c r="C6" s="45">
        <v>37685</v>
      </c>
      <c r="D6" s="45">
        <v>671</v>
      </c>
      <c r="E6" s="45">
        <v>5474</v>
      </c>
      <c r="F6" s="45">
        <v>18</v>
      </c>
      <c r="G6" s="45">
        <v>15429.64</v>
      </c>
      <c r="H6" s="45">
        <v>52</v>
      </c>
      <c r="I6" s="29">
        <v>2.81871392035075</v>
      </c>
      <c r="J6" s="30">
        <v>0.017805492901685</v>
      </c>
      <c r="K6" s="30">
        <v>0.0268256333830104</v>
      </c>
      <c r="L6" s="29">
        <v>8.15797317436662</v>
      </c>
      <c r="M6" s="31">
        <v>105.269230769231</v>
      </c>
      <c r="N6" s="26">
        <v>0.295644349676946</v>
      </c>
      <c r="O6" s="26">
        <v>0.229048920082626</v>
      </c>
      <c r="P6" s="26">
        <v>0</v>
      </c>
      <c r="Q6" s="26">
        <v>0</v>
      </c>
    </row>
    <row r="7" spans="1:17">
      <c r="A7" s="24" t="s">
        <v>17</v>
      </c>
      <c r="B7" s="25" t="s">
        <v>31</v>
      </c>
      <c r="C7" s="45">
        <v>204233</v>
      </c>
      <c r="D7" s="45">
        <v>6695</v>
      </c>
      <c r="E7" s="45">
        <v>18515.49</v>
      </c>
      <c r="F7" s="45">
        <v>156</v>
      </c>
      <c r="G7" s="45">
        <v>67363.95</v>
      </c>
      <c r="H7" s="45">
        <v>618</v>
      </c>
      <c r="I7" s="29">
        <v>3.63824829912684</v>
      </c>
      <c r="J7" s="30">
        <v>0.0327811861941998</v>
      </c>
      <c r="K7" s="30">
        <v>0.0233009708737864</v>
      </c>
      <c r="L7" s="29">
        <v>2.76556982823002</v>
      </c>
      <c r="M7" s="31">
        <v>29.9603398058252</v>
      </c>
      <c r="N7" s="26">
        <v>1</v>
      </c>
      <c r="O7" s="26">
        <v>1</v>
      </c>
      <c r="P7" s="26">
        <v>0.461285060245338</v>
      </c>
      <c r="Q7" s="26">
        <v>-0.519047680072486</v>
      </c>
    </row>
    <row r="8" spans="1:17">
      <c r="A8" s="24" t="s">
        <v>17</v>
      </c>
      <c r="B8" t="s">
        <v>32</v>
      </c>
      <c r="C8" s="26">
        <v>0.331835640736369</v>
      </c>
      <c r="D8" s="26">
        <v>0.127484001347255</v>
      </c>
      <c r="E8" s="26">
        <v>0.461285060245338</v>
      </c>
      <c r="F8" s="26">
        <v>-0.284403669724771</v>
      </c>
      <c r="G8" s="26">
        <v>-0.297191560199588</v>
      </c>
      <c r="H8" s="26">
        <v>-0.243574051407589</v>
      </c>
      <c r="I8" s="26">
        <v>-0.519047680072486</v>
      </c>
      <c r="J8" s="26">
        <v>-0.153436079602232</v>
      </c>
      <c r="K8" s="26">
        <v>-0.365315756658056</v>
      </c>
      <c r="L8" s="26">
        <v>0.296058355151128</v>
      </c>
      <c r="M8" s="26">
        <v>0.931828307800062</v>
      </c>
      <c r="N8" s="26" t="s">
        <v>33</v>
      </c>
      <c r="O8" s="26" t="s">
        <v>33</v>
      </c>
      <c r="P8" s="26" t="s">
        <v>33</v>
      </c>
      <c r="Q8" s="26" t="s">
        <v>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Q8"/>
  <sheetViews>
    <sheetView workbookViewId="0">
      <selection activeCell="A2" sqref="A2:Q8"/>
    </sheetView>
  </sheetViews>
  <sheetFormatPr defaultColWidth="11" defaultRowHeight="16.8" outlineLevelRow="7"/>
  <cols>
    <col min="1" max="1" width="31.25" style="32" customWidth="1"/>
    <col min="2" max="2" width="26.5" style="32" customWidth="1"/>
    <col min="3" max="3" width="13" style="32" customWidth="1"/>
    <col min="4" max="6" width="11" style="32" customWidth="1"/>
    <col min="7" max="7" width="13" style="32" customWidth="1"/>
    <col min="8" max="8" width="11" style="32" customWidth="1"/>
    <col min="9" max="10" width="8.5" style="32" customWidth="1"/>
    <col min="11" max="11" width="11.1634615384615" style="32" customWidth="1"/>
    <col min="12" max="12" width="8.5" style="32" customWidth="1"/>
    <col min="13" max="15" width="9.33653846153846" style="32" customWidth="1"/>
    <col min="16" max="16" width="15.5384615384615" style="32" customWidth="1"/>
    <col min="17" max="17" width="9.33653846153846" style="32" customWidth="1"/>
    <col min="18" max="16384" width="11" style="32"/>
  </cols>
  <sheetData>
    <row r="1" spans="1:17">
      <c r="A1" s="22" t="s">
        <v>0</v>
      </c>
      <c r="B1" s="22" t="s">
        <v>46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44" t="s">
        <v>47</v>
      </c>
      <c r="C2" s="34">
        <v>469159</v>
      </c>
      <c r="D2" s="34">
        <v>11544</v>
      </c>
      <c r="E2" s="34">
        <v>21375.95</v>
      </c>
      <c r="F2" s="34">
        <v>79</v>
      </c>
      <c r="G2" s="34">
        <v>130436.59</v>
      </c>
      <c r="H2" s="34">
        <v>443</v>
      </c>
      <c r="I2" s="36">
        <v>6.10202540705793</v>
      </c>
      <c r="J2" s="37">
        <v>0.0246057306797909</v>
      </c>
      <c r="K2" s="37">
        <v>0.00684338184338184</v>
      </c>
      <c r="L2" s="36">
        <v>1.85169352044352</v>
      </c>
      <c r="M2" s="38">
        <v>48.2527088036117</v>
      </c>
      <c r="N2" s="35">
        <v>0.605961603443467</v>
      </c>
      <c r="O2" s="35">
        <v>0.422067723190241</v>
      </c>
      <c r="P2" s="35">
        <v>0.464162324034346</v>
      </c>
      <c r="Q2" s="35">
        <v>0.0590044382727091</v>
      </c>
    </row>
    <row r="3" spans="1:17">
      <c r="A3" s="24" t="s">
        <v>17</v>
      </c>
      <c r="B3" s="44" t="s">
        <v>48</v>
      </c>
      <c r="C3" s="34">
        <v>48162</v>
      </c>
      <c r="D3" s="34">
        <v>2821</v>
      </c>
      <c r="E3" s="34">
        <v>6202.13</v>
      </c>
      <c r="F3" s="34">
        <v>86</v>
      </c>
      <c r="G3" s="34">
        <v>121401.65</v>
      </c>
      <c r="H3" s="34">
        <v>246</v>
      </c>
      <c r="I3" s="36">
        <v>19.574186610084</v>
      </c>
      <c r="J3" s="37">
        <v>0.0585731489556082</v>
      </c>
      <c r="K3" s="37">
        <v>0.0304856433888692</v>
      </c>
      <c r="L3" s="36">
        <v>2.19855724920241</v>
      </c>
      <c r="M3" s="38">
        <v>25.2119105691057</v>
      </c>
      <c r="N3" s="35">
        <v>0.175816870808775</v>
      </c>
      <c r="O3" s="35">
        <v>0.392832394706413</v>
      </c>
      <c r="P3" s="35">
        <v>1.12500685250665</v>
      </c>
      <c r="Q3" s="35">
        <v>0.0436976234397575</v>
      </c>
    </row>
    <row r="4" spans="1:17">
      <c r="A4" s="24" t="s">
        <v>17</v>
      </c>
      <c r="B4" s="44" t="s">
        <v>49</v>
      </c>
      <c r="C4" s="34">
        <v>169014</v>
      </c>
      <c r="D4" s="34">
        <v>3547</v>
      </c>
      <c r="E4" s="34">
        <v>4474.45</v>
      </c>
      <c r="F4" s="34">
        <v>12</v>
      </c>
      <c r="G4" s="34">
        <v>27833.87</v>
      </c>
      <c r="H4" s="34">
        <v>155</v>
      </c>
      <c r="I4" s="36">
        <v>6.22062376381455</v>
      </c>
      <c r="J4" s="37">
        <v>0.0209864271598802</v>
      </c>
      <c r="K4" s="37">
        <v>0.0033831406822667</v>
      </c>
      <c r="L4" s="36">
        <v>1.26147448548069</v>
      </c>
      <c r="M4" s="38">
        <v>28.8674193548387</v>
      </c>
      <c r="N4" s="35">
        <v>0.126840907493123</v>
      </c>
      <c r="O4" s="35">
        <v>0.0900650510602367</v>
      </c>
      <c r="P4" s="35">
        <v>0.0772280898578845</v>
      </c>
      <c r="Q4" s="35">
        <v>1.87125439593773</v>
      </c>
    </row>
    <row r="5" spans="1:17">
      <c r="A5" s="24" t="s">
        <v>17</v>
      </c>
      <c r="B5" s="44" t="s">
        <v>50</v>
      </c>
      <c r="C5" s="34">
        <v>139916</v>
      </c>
      <c r="D5" s="34">
        <v>3147</v>
      </c>
      <c r="E5" s="34">
        <v>3181.77</v>
      </c>
      <c r="F5" s="34">
        <v>21</v>
      </c>
      <c r="G5" s="34">
        <v>29369.74</v>
      </c>
      <c r="H5" s="34">
        <v>218</v>
      </c>
      <c r="I5" s="36">
        <v>9.23062949238946</v>
      </c>
      <c r="J5" s="37">
        <v>0.0224920666685726</v>
      </c>
      <c r="K5" s="37">
        <v>0.00667302192564347</v>
      </c>
      <c r="L5" s="36">
        <v>1.01104861773117</v>
      </c>
      <c r="M5" s="38">
        <v>14.5952752293578</v>
      </c>
      <c r="N5" s="35">
        <v>0.0901962462949398</v>
      </c>
      <c r="O5" s="35">
        <v>0.0950348310431095</v>
      </c>
      <c r="P5" s="35">
        <v>0.0124287637103009</v>
      </c>
      <c r="Q5" s="35">
        <v>-0.278316203035703</v>
      </c>
    </row>
    <row r="6" spans="1:17">
      <c r="A6" s="24" t="s">
        <v>17</v>
      </c>
      <c r="B6" s="44" t="s">
        <v>51</v>
      </c>
      <c r="C6" s="34">
        <v>2366</v>
      </c>
      <c r="D6" s="34">
        <v>92</v>
      </c>
      <c r="E6" s="34">
        <v>41.78</v>
      </c>
      <c r="F6" s="34">
        <v>0</v>
      </c>
      <c r="G6" s="34">
        <v>0</v>
      </c>
      <c r="H6" s="34">
        <v>0</v>
      </c>
      <c r="I6" s="36">
        <v>0</v>
      </c>
      <c r="J6" s="37">
        <v>0.0388841927303466</v>
      </c>
      <c r="K6" s="37">
        <v>0</v>
      </c>
      <c r="L6" s="36">
        <v>0.454130434782609</v>
      </c>
      <c r="M6" s="38">
        <v>0</v>
      </c>
      <c r="N6" s="35">
        <v>0.0011843719596962</v>
      </c>
      <c r="O6" s="35">
        <v>0</v>
      </c>
      <c r="P6" s="35">
        <v>-0.559932589003581</v>
      </c>
      <c r="Q6" s="35">
        <v>-1</v>
      </c>
    </row>
    <row r="7" spans="1:17">
      <c r="A7" s="24" t="s">
        <v>17</v>
      </c>
      <c r="B7" s="24" t="s">
        <v>31</v>
      </c>
      <c r="C7" s="34">
        <v>828617</v>
      </c>
      <c r="D7" s="34">
        <v>21151</v>
      </c>
      <c r="E7" s="34">
        <v>35276.08</v>
      </c>
      <c r="F7" s="34">
        <v>198</v>
      </c>
      <c r="G7" s="34">
        <v>309041.85</v>
      </c>
      <c r="H7" s="34">
        <v>1062</v>
      </c>
      <c r="I7" s="36">
        <v>8.76066303285399</v>
      </c>
      <c r="J7" s="37">
        <v>0.0255256650539393</v>
      </c>
      <c r="K7" s="37">
        <v>0.00936125951491655</v>
      </c>
      <c r="L7" s="36">
        <v>1.66782090681292</v>
      </c>
      <c r="M7" s="38">
        <v>33.216647834275</v>
      </c>
      <c r="N7" s="35">
        <v>1</v>
      </c>
      <c r="O7" s="35">
        <v>1</v>
      </c>
      <c r="P7" s="35">
        <v>0.416175419721069</v>
      </c>
      <c r="Q7" s="35">
        <v>0.159241963597842</v>
      </c>
    </row>
    <row r="8" spans="1:17">
      <c r="A8" s="24" t="s">
        <v>17</v>
      </c>
      <c r="B8" s="24" t="s">
        <v>32</v>
      </c>
      <c r="C8" s="35">
        <v>0.273060105763528</v>
      </c>
      <c r="D8" s="35">
        <v>0.424981472748097</v>
      </c>
      <c r="E8" s="35">
        <v>0.416175419721069</v>
      </c>
      <c r="F8" s="35">
        <v>0.783783783783784</v>
      </c>
      <c r="G8" s="35">
        <v>0.64168997435645</v>
      </c>
      <c r="H8" s="35">
        <v>0.158124318429662</v>
      </c>
      <c r="I8" s="35">
        <v>0.159241963597842</v>
      </c>
      <c r="J8" s="35">
        <v>0.119335580697861</v>
      </c>
      <c r="K8" s="35">
        <v>0.251794369188345</v>
      </c>
      <c r="L8" s="35">
        <v>-0.00617976668148723</v>
      </c>
      <c r="M8" s="35">
        <v>0.2228181354842</v>
      </c>
      <c r="N8" s="35" t="s">
        <v>33</v>
      </c>
      <c r="O8" s="35" t="s">
        <v>33</v>
      </c>
      <c r="P8" s="35" t="s">
        <v>33</v>
      </c>
      <c r="Q8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zoomScale="96" zoomScaleNormal="96" workbookViewId="0">
      <selection activeCell="I15" sqref="I15"/>
    </sheetView>
  </sheetViews>
  <sheetFormatPr defaultColWidth="11" defaultRowHeight="16.8"/>
  <cols>
    <col min="1" max="1" width="26.0288461538462" style="32" customWidth="1"/>
    <col min="2" max="2" width="42.6634615384615" style="32" customWidth="1"/>
    <col min="3" max="3" width="16.5" style="32" customWidth="1"/>
    <col min="4" max="5" width="14.5" style="32"/>
    <col min="6" max="6" width="11" style="32"/>
    <col min="7" max="7" width="12" style="32" customWidth="1"/>
    <col min="8" max="8" width="11.6634615384615" style="32"/>
    <col min="9" max="9" width="8.5" style="32" customWidth="1"/>
    <col min="10" max="10" width="11.8365384615385" style="32" customWidth="1"/>
    <col min="11" max="11" width="11.1634615384615" style="32" customWidth="1"/>
    <col min="12" max="12" width="8.5" style="32" customWidth="1"/>
    <col min="13" max="17" width="9.33653846153846" style="32" customWidth="1"/>
    <col min="18" max="16384" width="11" style="32"/>
  </cols>
  <sheetData>
    <row r="1" spans="1:17">
      <c r="A1" s="22" t="s">
        <v>0</v>
      </c>
      <c r="B1" s="22" t="s">
        <v>46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52</v>
      </c>
      <c r="C2" s="34">
        <v>2281138</v>
      </c>
      <c r="D2" s="34">
        <v>141310</v>
      </c>
      <c r="E2" s="34">
        <v>134904.68</v>
      </c>
      <c r="F2" s="34">
        <v>457</v>
      </c>
      <c r="G2" s="34">
        <v>1048621.66</v>
      </c>
      <c r="H2" s="34">
        <v>3332</v>
      </c>
      <c r="I2" s="36">
        <v>7.77305620531475</v>
      </c>
      <c r="J2" s="37">
        <v>0.0619471509395749</v>
      </c>
      <c r="K2" s="37">
        <v>0.00323402448517444</v>
      </c>
      <c r="L2" s="36">
        <v>0.954671856202675</v>
      </c>
      <c r="M2" s="38">
        <v>40.4875990396158</v>
      </c>
      <c r="N2" s="35">
        <v>0.313249642619867</v>
      </c>
      <c r="O2" s="35">
        <v>0.269529837606461</v>
      </c>
      <c r="P2" s="35">
        <v>0.737489287571677</v>
      </c>
      <c r="Q2" s="35">
        <v>0.00679604252440846</v>
      </c>
    </row>
    <row r="3" spans="1:17">
      <c r="A3" s="24" t="s">
        <v>17</v>
      </c>
      <c r="B3" s="24" t="s">
        <v>53</v>
      </c>
      <c r="C3" s="34">
        <v>231937</v>
      </c>
      <c r="D3" s="34">
        <v>10320</v>
      </c>
      <c r="E3" s="34">
        <v>30110.53</v>
      </c>
      <c r="F3" s="34">
        <v>90</v>
      </c>
      <c r="G3" s="34">
        <v>195186.55</v>
      </c>
      <c r="H3" s="34">
        <v>1015</v>
      </c>
      <c r="I3" s="36">
        <v>6.48233524949577</v>
      </c>
      <c r="J3" s="37">
        <v>0.0444948412715522</v>
      </c>
      <c r="K3" s="37">
        <v>0.00872093023255814</v>
      </c>
      <c r="L3" s="36">
        <v>2.91768701550388</v>
      </c>
      <c r="M3" s="38">
        <v>29.6655467980296</v>
      </c>
      <c r="N3" s="35">
        <v>0.0699168684258751</v>
      </c>
      <c r="O3" s="35">
        <v>0.0501692851971657</v>
      </c>
      <c r="P3" s="35">
        <v>0.0439302815233833</v>
      </c>
      <c r="Q3" s="35">
        <v>0.469397411467227</v>
      </c>
    </row>
    <row r="4" spans="1:17">
      <c r="A4" s="24" t="s">
        <v>17</v>
      </c>
      <c r="B4" s="24" t="s">
        <v>54</v>
      </c>
      <c r="C4" s="34">
        <v>28577509</v>
      </c>
      <c r="D4" s="34">
        <v>3963246</v>
      </c>
      <c r="E4" s="34">
        <v>246193.17</v>
      </c>
      <c r="F4" s="34">
        <v>662</v>
      </c>
      <c r="G4" s="34">
        <v>2377524.85</v>
      </c>
      <c r="H4" s="34">
        <v>7316</v>
      </c>
      <c r="I4" s="36">
        <v>9.65715194292352</v>
      </c>
      <c r="J4" s="37">
        <v>0.138684095944122</v>
      </c>
      <c r="K4" s="37">
        <v>0.000167034799252936</v>
      </c>
      <c r="L4" s="36">
        <v>0.0621190736078457</v>
      </c>
      <c r="M4" s="38">
        <v>33.6513354291963</v>
      </c>
      <c r="N4" s="35">
        <v>0.571662321262332</v>
      </c>
      <c r="O4" s="35">
        <v>0.611101135108944</v>
      </c>
      <c r="P4" s="35">
        <v>0.842426895269643</v>
      </c>
      <c r="Q4" s="35">
        <v>0.741378618763269</v>
      </c>
    </row>
    <row r="5" spans="1:17">
      <c r="A5" s="24" t="s">
        <v>17</v>
      </c>
      <c r="B5" s="24" t="s">
        <v>55</v>
      </c>
      <c r="C5" s="34">
        <v>151409</v>
      </c>
      <c r="D5" s="34">
        <v>7423</v>
      </c>
      <c r="E5" s="34">
        <v>16892.58</v>
      </c>
      <c r="F5" s="34">
        <v>108</v>
      </c>
      <c r="G5" s="34">
        <v>269159.66</v>
      </c>
      <c r="H5" s="34">
        <v>658</v>
      </c>
      <c r="I5" s="36">
        <v>15.9336028007563</v>
      </c>
      <c r="J5" s="37">
        <v>0.049026147719092</v>
      </c>
      <c r="K5" s="37">
        <v>0.014549373568638</v>
      </c>
      <c r="L5" s="36">
        <v>2.27570793479725</v>
      </c>
      <c r="M5" s="38">
        <v>25.6726139817629</v>
      </c>
      <c r="N5" s="35">
        <v>0.0392246929307976</v>
      </c>
      <c r="O5" s="35">
        <v>0.0691827779430097</v>
      </c>
      <c r="P5" s="35">
        <v>1.09320981688141</v>
      </c>
      <c r="Q5" s="35">
        <v>0.606154698658358</v>
      </c>
    </row>
    <row r="6" spans="1:17">
      <c r="A6" s="24" t="s">
        <v>17</v>
      </c>
      <c r="B6" s="24" t="s">
        <v>56</v>
      </c>
      <c r="C6" s="34">
        <v>77435</v>
      </c>
      <c r="D6" s="34">
        <v>5721</v>
      </c>
      <c r="E6" s="34">
        <v>2193.64</v>
      </c>
      <c r="F6" s="34">
        <v>59</v>
      </c>
      <c r="G6" s="34">
        <v>59</v>
      </c>
      <c r="H6" s="34">
        <v>2</v>
      </c>
      <c r="I6" s="36">
        <v>0.0268959355226929</v>
      </c>
      <c r="J6" s="37">
        <v>0.0738813198166204</v>
      </c>
      <c r="K6" s="37">
        <v>0.0103128823632232</v>
      </c>
      <c r="L6" s="36">
        <v>0.383436462156966</v>
      </c>
      <c r="M6" s="38">
        <v>1096.82</v>
      </c>
      <c r="N6" s="35">
        <v>0.00509364794487963</v>
      </c>
      <c r="O6" s="35">
        <v>1.51649169813841e-5</v>
      </c>
      <c r="P6" s="35">
        <v>-0.286590977829957</v>
      </c>
      <c r="Q6" s="35">
        <v>-0.33305237693014</v>
      </c>
    </row>
    <row r="7" spans="1:17">
      <c r="A7" s="24" t="s">
        <v>17</v>
      </c>
      <c r="B7" s="24" t="s">
        <v>57</v>
      </c>
      <c r="C7" s="34">
        <v>5642</v>
      </c>
      <c r="D7" s="34">
        <v>470</v>
      </c>
      <c r="E7" s="34">
        <v>367.28</v>
      </c>
      <c r="F7" s="34">
        <v>7</v>
      </c>
      <c r="G7" s="34">
        <v>7</v>
      </c>
      <c r="H7" s="34">
        <v>2</v>
      </c>
      <c r="I7" s="36">
        <v>0.0190590285340884</v>
      </c>
      <c r="J7" s="37">
        <v>0.0833037929812123</v>
      </c>
      <c r="K7" s="37">
        <v>0.0148936170212766</v>
      </c>
      <c r="L7" s="36">
        <v>0.781446808510638</v>
      </c>
      <c r="M7" s="38">
        <v>183.64</v>
      </c>
      <c r="N7" s="35">
        <v>0.000852826816248515</v>
      </c>
      <c r="O7" s="35">
        <v>1.7992274384693e-6</v>
      </c>
      <c r="P7" s="35">
        <v>-0.487067761577565</v>
      </c>
      <c r="Q7" s="35">
        <v>0.0497712916575885</v>
      </c>
    </row>
    <row r="8" spans="1:17">
      <c r="A8" s="24" t="s">
        <v>17</v>
      </c>
      <c r="B8" s="24" t="s">
        <v>31</v>
      </c>
      <c r="C8" s="34">
        <v>31325070</v>
      </c>
      <c r="D8" s="34">
        <v>4128490</v>
      </c>
      <c r="E8" s="34">
        <v>430661.88</v>
      </c>
      <c r="F8" s="34">
        <v>1383</v>
      </c>
      <c r="G8" s="34">
        <v>3890558.72</v>
      </c>
      <c r="H8" s="34">
        <v>12325</v>
      </c>
      <c r="I8" s="36">
        <v>9.03390548520338</v>
      </c>
      <c r="J8" s="37">
        <v>0.1317950765952</v>
      </c>
      <c r="K8" s="37">
        <v>0.000334989306017454</v>
      </c>
      <c r="L8" s="36">
        <v>0.104314623506415</v>
      </c>
      <c r="M8" s="38">
        <v>34.9421403651116</v>
      </c>
      <c r="N8" s="35">
        <v>1</v>
      </c>
      <c r="O8" s="35">
        <v>1</v>
      </c>
      <c r="P8" s="35">
        <v>0.73027804618367</v>
      </c>
      <c r="Q8" s="35">
        <v>0.452708862212011</v>
      </c>
    </row>
    <row r="9" spans="1:17">
      <c r="A9" s="24" t="s">
        <v>17</v>
      </c>
      <c r="B9" s="24" t="s">
        <v>32</v>
      </c>
      <c r="C9" s="35">
        <v>-0.0185848134289254</v>
      </c>
      <c r="D9" s="35">
        <v>-0.0819537033145588</v>
      </c>
      <c r="E9" s="35">
        <v>0.73027804618367</v>
      </c>
      <c r="F9" s="35">
        <v>1.54227941176471</v>
      </c>
      <c r="G9" s="35">
        <v>1.5135902517819</v>
      </c>
      <c r="H9" s="35">
        <v>0.457028017496158</v>
      </c>
      <c r="I9" s="35">
        <v>0.452708862212011</v>
      </c>
      <c r="J9" s="35">
        <v>-0.0645688906720859</v>
      </c>
      <c r="K9" s="35">
        <v>1.76922789291072</v>
      </c>
      <c r="L9" s="35">
        <v>0.88473942156376</v>
      </c>
      <c r="M9" s="35">
        <v>0.187539309749913</v>
      </c>
      <c r="N9" s="35" t="s">
        <v>33</v>
      </c>
      <c r="O9" s="35" t="s">
        <v>33</v>
      </c>
      <c r="P9" s="35" t="s">
        <v>33</v>
      </c>
      <c r="Q9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A2" sqref="A2:Q11"/>
    </sheetView>
  </sheetViews>
  <sheetFormatPr defaultColWidth="11" defaultRowHeight="16.8"/>
  <cols>
    <col min="1" max="1" width="30.25" style="32" customWidth="1"/>
    <col min="2" max="2" width="21" style="32" customWidth="1"/>
    <col min="3" max="3" width="14.1634615384615" style="32" customWidth="1"/>
    <col min="4" max="4" width="15.6634615384615" style="32" customWidth="1"/>
    <col min="5" max="5" width="12.1634615384615" style="32" customWidth="1"/>
    <col min="6" max="6" width="9.66346153846154" style="32" customWidth="1"/>
    <col min="7" max="7" width="13" style="32" customWidth="1"/>
    <col min="8" max="8" width="9.33653846153846" style="32" customWidth="1"/>
    <col min="9" max="10" width="8.5" style="32" customWidth="1"/>
    <col min="11" max="11" width="11.1634615384615" style="32" customWidth="1"/>
    <col min="12" max="12" width="8.5" style="32" customWidth="1"/>
    <col min="13" max="13" width="9.33653846153846" style="32" customWidth="1"/>
    <col min="14" max="14" width="10.7307692307692" style="32" customWidth="1"/>
    <col min="15" max="17" width="9.33653846153846" style="32" customWidth="1"/>
    <col min="18" max="16384" width="11" style="32"/>
  </cols>
  <sheetData>
    <row r="1" spans="1:17">
      <c r="A1" s="22" t="s">
        <v>0</v>
      </c>
      <c r="B1" s="22" t="s">
        <v>46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58</v>
      </c>
      <c r="C2" s="33">
        <v>5716691</v>
      </c>
      <c r="D2" s="33">
        <v>559665</v>
      </c>
      <c r="E2" s="33">
        <v>106676.18</v>
      </c>
      <c r="F2" s="33">
        <v>1447</v>
      </c>
      <c r="G2" s="33">
        <v>1295263.31</v>
      </c>
      <c r="H2" s="33">
        <v>5400</v>
      </c>
      <c r="I2" s="36">
        <v>12.1420106156782</v>
      </c>
      <c r="J2" s="37">
        <v>0.0979001663724697</v>
      </c>
      <c r="K2" s="37">
        <v>0.00258547523965229</v>
      </c>
      <c r="L2" s="36">
        <v>0.190607202522938</v>
      </c>
      <c r="M2" s="38">
        <v>19.7548481481481</v>
      </c>
      <c r="N2" s="35">
        <v>0.456847519325068</v>
      </c>
      <c r="O2" s="35">
        <v>0.690362637677629</v>
      </c>
      <c r="P2" s="35">
        <v>0.241080635086541</v>
      </c>
      <c r="Q2" s="35">
        <v>0.781022358894323</v>
      </c>
    </row>
    <row r="3" spans="1:17">
      <c r="A3" s="24" t="s">
        <v>17</v>
      </c>
      <c r="B3" s="24" t="s">
        <v>59</v>
      </c>
      <c r="C3" s="33">
        <v>92977</v>
      </c>
      <c r="D3" s="33">
        <v>7716</v>
      </c>
      <c r="E3" s="33">
        <v>9173.08</v>
      </c>
      <c r="F3" s="33">
        <v>161</v>
      </c>
      <c r="G3" s="33">
        <v>61613.02</v>
      </c>
      <c r="H3" s="33">
        <v>845</v>
      </c>
      <c r="I3" s="36">
        <v>6.71672110130948</v>
      </c>
      <c r="J3" s="37">
        <v>0.0829882659152263</v>
      </c>
      <c r="K3" s="37">
        <v>0.0208657335406947</v>
      </c>
      <c r="L3" s="36">
        <v>1.18883877656817</v>
      </c>
      <c r="M3" s="38">
        <v>10.8557159763314</v>
      </c>
      <c r="N3" s="35">
        <v>0.0392842979807713</v>
      </c>
      <c r="O3" s="35">
        <v>0.0328391352353557</v>
      </c>
      <c r="P3" s="35">
        <v>-0.0270251923287022</v>
      </c>
      <c r="Q3" s="35">
        <v>-0.108006534127695</v>
      </c>
    </row>
    <row r="4" spans="1:17">
      <c r="A4" s="24" t="s">
        <v>17</v>
      </c>
      <c r="B4" s="24" t="s">
        <v>60</v>
      </c>
      <c r="C4" s="33">
        <v>134295</v>
      </c>
      <c r="D4" s="33">
        <v>7376</v>
      </c>
      <c r="E4" s="33">
        <v>10840.52</v>
      </c>
      <c r="F4" s="33">
        <v>324</v>
      </c>
      <c r="G4" s="33">
        <v>92010.3</v>
      </c>
      <c r="H4" s="33">
        <v>922</v>
      </c>
      <c r="I4" s="36">
        <v>8.48762789976865</v>
      </c>
      <c r="J4" s="37">
        <v>0.0549238616478648</v>
      </c>
      <c r="K4" s="37">
        <v>0.0439262472885033</v>
      </c>
      <c r="L4" s="36">
        <v>1.46970173535792</v>
      </c>
      <c r="M4" s="38">
        <v>11.7576138828633</v>
      </c>
      <c r="N4" s="35">
        <v>0.0464252157341385</v>
      </c>
      <c r="O4" s="35">
        <v>0.049040587277586</v>
      </c>
      <c r="P4" s="35">
        <v>0.235676979439048</v>
      </c>
      <c r="Q4" s="35">
        <v>-0.162730866540973</v>
      </c>
    </row>
    <row r="5" spans="1:17">
      <c r="A5" s="24" t="s">
        <v>17</v>
      </c>
      <c r="B5" s="24" t="s">
        <v>61</v>
      </c>
      <c r="C5" s="33">
        <v>55128</v>
      </c>
      <c r="D5" s="33">
        <v>2025</v>
      </c>
      <c r="E5" s="33">
        <v>2819.35</v>
      </c>
      <c r="F5" s="33">
        <v>23</v>
      </c>
      <c r="G5" s="33">
        <v>12010.79</v>
      </c>
      <c r="H5" s="33">
        <v>150</v>
      </c>
      <c r="I5" s="36">
        <v>4.26012733431465</v>
      </c>
      <c r="J5" s="37">
        <v>0.0367326948193296</v>
      </c>
      <c r="K5" s="37">
        <v>0.011358024691358</v>
      </c>
      <c r="L5" s="36">
        <v>1.39227160493827</v>
      </c>
      <c r="M5" s="38">
        <v>18.7956666666667</v>
      </c>
      <c r="N5" s="35">
        <v>0.0120740455236505</v>
      </c>
      <c r="O5" s="35">
        <v>0.00640163324397113</v>
      </c>
      <c r="P5" s="35">
        <v>-0.0112470277966769</v>
      </c>
      <c r="Q5" s="35">
        <v>-0.0630951069562865</v>
      </c>
    </row>
    <row r="6" spans="1:17">
      <c r="A6" s="24" t="s">
        <v>17</v>
      </c>
      <c r="B6" s="24" t="s">
        <v>62</v>
      </c>
      <c r="C6" s="33">
        <v>107399</v>
      </c>
      <c r="D6" s="33">
        <v>4741</v>
      </c>
      <c r="E6" s="33">
        <v>7685.69</v>
      </c>
      <c r="F6" s="33">
        <v>244</v>
      </c>
      <c r="G6" s="33">
        <v>51713.1</v>
      </c>
      <c r="H6" s="33">
        <v>675</v>
      </c>
      <c r="I6" s="36">
        <v>6.72849152125574</v>
      </c>
      <c r="J6" s="37">
        <v>0.0441438002216036</v>
      </c>
      <c r="K6" s="37">
        <v>0.0514659354566547</v>
      </c>
      <c r="L6" s="36">
        <v>1.62111157983548</v>
      </c>
      <c r="M6" s="38">
        <v>11.3862074074074</v>
      </c>
      <c r="N6" s="35">
        <v>0.0329144557932378</v>
      </c>
      <c r="O6" s="35">
        <v>0.0275625749937184</v>
      </c>
      <c r="P6" s="35">
        <v>0.0203439783868462</v>
      </c>
      <c r="Q6" s="35">
        <v>-0.0570652541453097</v>
      </c>
    </row>
    <row r="7" spans="1:17">
      <c r="A7" s="24" t="s">
        <v>17</v>
      </c>
      <c r="B7" s="24" t="s">
        <v>63</v>
      </c>
      <c r="C7" s="33">
        <v>92592</v>
      </c>
      <c r="D7" s="33">
        <v>4083</v>
      </c>
      <c r="E7" s="33">
        <v>9857.51</v>
      </c>
      <c r="F7" s="33">
        <v>99</v>
      </c>
      <c r="G7" s="33">
        <v>54925.89</v>
      </c>
      <c r="H7" s="33">
        <v>442</v>
      </c>
      <c r="I7" s="36">
        <v>5.57198420290722</v>
      </c>
      <c r="J7" s="36">
        <v>4.46464646464646</v>
      </c>
      <c r="K7" s="36">
        <v>0.000101445496885116</v>
      </c>
      <c r="L7" s="36">
        <v>0.0101010101010101</v>
      </c>
      <c r="M7" s="36">
        <v>1.82063504114362e-5</v>
      </c>
      <c r="N7" s="35">
        <v>0.0422154129461896</v>
      </c>
      <c r="O7" s="35">
        <v>0.0292749605462007</v>
      </c>
      <c r="P7" s="35">
        <v>-0.0107063394013964</v>
      </c>
      <c r="Q7" s="35">
        <v>-0.281321567782491</v>
      </c>
    </row>
    <row r="8" spans="1:17">
      <c r="A8" s="24" t="s">
        <v>17</v>
      </c>
      <c r="B8" s="24" t="s">
        <v>64</v>
      </c>
      <c r="C8" s="33">
        <v>3918749</v>
      </c>
      <c r="D8" s="33">
        <v>326012</v>
      </c>
      <c r="E8" s="33">
        <v>85216.47</v>
      </c>
      <c r="F8" s="33">
        <v>476</v>
      </c>
      <c r="G8" s="33">
        <v>308638.73</v>
      </c>
      <c r="H8" s="33">
        <v>3584</v>
      </c>
      <c r="I8" s="36">
        <v>3.62182017161706</v>
      </c>
      <c r="J8" s="36">
        <v>7.52941176470588</v>
      </c>
      <c r="K8" s="36">
        <v>1.17348207453324e-5</v>
      </c>
      <c r="L8" s="36">
        <v>0.00210084033613445</v>
      </c>
      <c r="M8" s="36">
        <v>3.24003406831022e-6</v>
      </c>
      <c r="N8" s="35">
        <v>0.364944947645661</v>
      </c>
      <c r="O8" s="35">
        <v>0.16450141533946</v>
      </c>
      <c r="P8" s="35">
        <v>1.63688072741563</v>
      </c>
      <c r="Q8" s="35">
        <v>-0.441172714856752</v>
      </c>
    </row>
    <row r="9" spans="1:17">
      <c r="A9" s="24" t="s">
        <v>17</v>
      </c>
      <c r="B9" s="24" t="s">
        <v>65</v>
      </c>
      <c r="C9" s="33">
        <v>34781</v>
      </c>
      <c r="D9" s="33">
        <v>1875</v>
      </c>
      <c r="E9" s="33">
        <v>1236.2</v>
      </c>
      <c r="F9" s="33">
        <v>32</v>
      </c>
      <c r="G9" s="33">
        <v>32</v>
      </c>
      <c r="H9" s="33">
        <v>12</v>
      </c>
      <c r="I9" s="36">
        <v>0.0258857790001618</v>
      </c>
      <c r="J9" s="36">
        <v>0.375</v>
      </c>
      <c r="K9" s="36">
        <v>0.000808930593755056</v>
      </c>
      <c r="L9" s="36">
        <v>0.03125</v>
      </c>
      <c r="M9" s="36">
        <v>0.03125</v>
      </c>
      <c r="N9" s="35">
        <v>0.0052941050512837</v>
      </c>
      <c r="O9" s="35">
        <v>1.70556860795232e-5</v>
      </c>
      <c r="P9" s="35">
        <v>-0.391846352898347</v>
      </c>
      <c r="Q9" s="35">
        <v>-0.960398077918371</v>
      </c>
    </row>
    <row r="10" spans="1:17">
      <c r="A10" s="24" t="s">
        <v>17</v>
      </c>
      <c r="B10" s="24" t="s">
        <v>31</v>
      </c>
      <c r="C10" s="34">
        <v>10152612</v>
      </c>
      <c r="D10" s="34">
        <v>913493</v>
      </c>
      <c r="E10" s="34">
        <v>233505</v>
      </c>
      <c r="F10" s="34">
        <v>2806</v>
      </c>
      <c r="G10" s="34">
        <v>1876207.14</v>
      </c>
      <c r="H10" s="34">
        <v>12030</v>
      </c>
      <c r="I10" s="36">
        <v>8.03497629601079</v>
      </c>
      <c r="J10" s="37">
        <v>0.0899761558897356</v>
      </c>
      <c r="K10" s="37">
        <v>0.00307172578224464</v>
      </c>
      <c r="L10" s="36">
        <v>0.255617722303291</v>
      </c>
      <c r="M10" s="38">
        <v>19.4102244389027</v>
      </c>
      <c r="N10" s="35">
        <v>1</v>
      </c>
      <c r="O10" s="35">
        <v>1</v>
      </c>
      <c r="P10" s="35">
        <v>0.469943910407736</v>
      </c>
      <c r="Q10" s="35">
        <v>0.159648355363485</v>
      </c>
    </row>
    <row r="11" spans="1:17">
      <c r="A11" s="24" t="s">
        <v>17</v>
      </c>
      <c r="B11" s="24" t="s">
        <v>32</v>
      </c>
      <c r="C11" s="35">
        <v>0.298456015023939</v>
      </c>
      <c r="D11" s="35">
        <v>0.156143173007679</v>
      </c>
      <c r="E11" s="35">
        <v>0.469943910407736</v>
      </c>
      <c r="F11" s="35">
        <v>0.348390197020663</v>
      </c>
      <c r="G11" s="35">
        <v>0.7046180381809</v>
      </c>
      <c r="H11" s="35">
        <v>0.420810204322664</v>
      </c>
      <c r="I11" s="35">
        <v>0.159648355363485</v>
      </c>
      <c r="J11" s="35">
        <v>-0.109601588632663</v>
      </c>
      <c r="K11" s="35">
        <v>0.166283059487225</v>
      </c>
      <c r="L11" s="35">
        <v>0.271420309115965</v>
      </c>
      <c r="M11" s="35">
        <v>0.0345814704424185</v>
      </c>
      <c r="N11" s="35" t="s">
        <v>33</v>
      </c>
      <c r="O11" s="35" t="s">
        <v>33</v>
      </c>
      <c r="P11" s="35" t="s">
        <v>33</v>
      </c>
      <c r="Q11" s="35" t="s">
        <v>33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2" sqref="A2:Q5"/>
    </sheetView>
  </sheetViews>
  <sheetFormatPr defaultColWidth="11" defaultRowHeight="16.8" outlineLevelRow="4"/>
  <cols>
    <col min="1" max="1" width="32.625" style="32" customWidth="1"/>
    <col min="2" max="2" width="28.8365384615385" style="32" customWidth="1"/>
    <col min="3" max="3" width="10.5" style="39" customWidth="1"/>
    <col min="4" max="4" width="9.33653846153846" style="39" customWidth="1"/>
    <col min="5" max="5" width="12.1634615384615" style="40" customWidth="1"/>
    <col min="6" max="6" width="8.66346153846154" style="39" customWidth="1"/>
    <col min="7" max="7" width="13.3365384615385" style="40" customWidth="1"/>
    <col min="8" max="8" width="8.66346153846154" style="39" customWidth="1"/>
    <col min="9" max="10" width="8.5" style="32" customWidth="1"/>
    <col min="11" max="11" width="11.1634615384615" style="32" customWidth="1"/>
    <col min="12" max="12" width="8.5" style="32" customWidth="1"/>
    <col min="13" max="17" width="9.33653846153846" style="32" customWidth="1"/>
    <col min="18" max="16384" width="11" style="32"/>
  </cols>
  <sheetData>
    <row r="1" spans="1:17">
      <c r="A1" s="22" t="s">
        <v>0</v>
      </c>
      <c r="B1" s="22" t="s">
        <v>46</v>
      </c>
      <c r="C1" s="23" t="s">
        <v>2</v>
      </c>
      <c r="D1" s="23" t="s">
        <v>3</v>
      </c>
      <c r="E1" s="27" t="s">
        <v>4</v>
      </c>
      <c r="F1" s="23" t="s">
        <v>5</v>
      </c>
      <c r="G1" s="27" t="s">
        <v>6</v>
      </c>
      <c r="H1" s="23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66</v>
      </c>
      <c r="C2" s="41">
        <v>55858</v>
      </c>
      <c r="D2" s="41">
        <v>7612</v>
      </c>
      <c r="E2" s="41">
        <v>11699.73</v>
      </c>
      <c r="F2" s="41">
        <v>635</v>
      </c>
      <c r="G2" s="41">
        <v>82811.11</v>
      </c>
      <c r="H2" s="41">
        <v>1169</v>
      </c>
      <c r="I2" s="36">
        <v>7.0780359888647</v>
      </c>
      <c r="J2" s="37">
        <v>0.136274123670737</v>
      </c>
      <c r="K2" s="37">
        <v>0.0834209143457698</v>
      </c>
      <c r="L2" s="36">
        <v>1.5370112979506</v>
      </c>
      <c r="M2" s="38">
        <v>10.0083233532934</v>
      </c>
      <c r="N2" s="35">
        <v>0.716260592636671</v>
      </c>
      <c r="O2" s="35">
        <v>0.753880484279559</v>
      </c>
      <c r="P2" s="35">
        <v>1.81807123863111</v>
      </c>
      <c r="Q2" s="35">
        <v>0.377840441528467</v>
      </c>
    </row>
    <row r="3" spans="1:17">
      <c r="A3" s="24" t="s">
        <v>17</v>
      </c>
      <c r="B3" s="24" t="s">
        <v>67</v>
      </c>
      <c r="C3" s="41">
        <v>42028</v>
      </c>
      <c r="D3" s="41">
        <v>2219</v>
      </c>
      <c r="E3" s="41">
        <v>4634.73</v>
      </c>
      <c r="F3" s="41">
        <v>122</v>
      </c>
      <c r="G3" s="41">
        <v>27035.36</v>
      </c>
      <c r="H3" s="41">
        <v>286</v>
      </c>
      <c r="I3" s="36">
        <v>5.8332114276344</v>
      </c>
      <c r="J3" s="37">
        <v>0.0527981345769487</v>
      </c>
      <c r="K3" s="37">
        <v>0.0549797205948626</v>
      </c>
      <c r="L3" s="36">
        <v>2.08865705272645</v>
      </c>
      <c r="M3" s="38">
        <v>16.2053496503496</v>
      </c>
      <c r="N3" s="35">
        <v>0.283739407363329</v>
      </c>
      <c r="O3" s="35">
        <v>0.246119515720441</v>
      </c>
      <c r="P3" s="35">
        <v>-0.417779670470476</v>
      </c>
      <c r="Q3" s="35">
        <v>-0.173794806562572</v>
      </c>
    </row>
    <row r="4" spans="1:17">
      <c r="A4" s="24" t="s">
        <v>17</v>
      </c>
      <c r="B4" s="24" t="s">
        <v>31</v>
      </c>
      <c r="C4" s="42">
        <v>97886</v>
      </c>
      <c r="D4" s="42">
        <v>9831</v>
      </c>
      <c r="E4" s="42">
        <v>16334.46</v>
      </c>
      <c r="F4" s="42">
        <v>757</v>
      </c>
      <c r="G4" s="42">
        <v>109846.47</v>
      </c>
      <c r="H4" s="42">
        <v>1455</v>
      </c>
      <c r="I4" s="36">
        <v>6.7248302055899</v>
      </c>
      <c r="J4" s="37">
        <v>0.100433156937662</v>
      </c>
      <c r="K4" s="37">
        <v>0.0770013223476757</v>
      </c>
      <c r="L4" s="36">
        <v>1.66152578577968</v>
      </c>
      <c r="M4" s="38">
        <v>11.2264329896907</v>
      </c>
      <c r="N4" s="35">
        <v>1</v>
      </c>
      <c r="O4" s="35">
        <v>1</v>
      </c>
      <c r="P4" s="35">
        <v>0.348604538264152</v>
      </c>
      <c r="Q4" s="35">
        <v>0.0505855526951102</v>
      </c>
    </row>
    <row r="5" spans="1:17">
      <c r="A5" s="24" t="s">
        <v>17</v>
      </c>
      <c r="B5" s="35" t="s">
        <v>32</v>
      </c>
      <c r="C5" s="43">
        <v>-0.180671460019586</v>
      </c>
      <c r="D5" s="43">
        <v>0.209671465485419</v>
      </c>
      <c r="E5" s="43">
        <v>0.348604538264152</v>
      </c>
      <c r="F5" s="43">
        <v>0.532388663967611</v>
      </c>
      <c r="G5" s="43">
        <v>0.416824444199378</v>
      </c>
      <c r="H5" s="43">
        <v>0.39367816091954</v>
      </c>
      <c r="I5" s="35">
        <v>0.0505855526951102</v>
      </c>
      <c r="J5" s="35">
        <v>0.476418074627715</v>
      </c>
      <c r="K5" s="35">
        <v>0.266780863804778</v>
      </c>
      <c r="L5" s="35">
        <v>0.11485190544937</v>
      </c>
      <c r="M5" s="35">
        <v>-0.032341485946543</v>
      </c>
      <c r="N5" s="35" t="s">
        <v>33</v>
      </c>
      <c r="O5" s="35" t="s">
        <v>33</v>
      </c>
      <c r="P5" s="35" t="s">
        <v>33</v>
      </c>
      <c r="Q5" s="35" t="s">
        <v>33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2" sqref="A2"/>
    </sheetView>
  </sheetViews>
  <sheetFormatPr defaultColWidth="10.8365384615385" defaultRowHeight="16.8" outlineLevelRow="4"/>
  <cols>
    <col min="1" max="1" width="35.875" style="32" customWidth="1"/>
    <col min="2" max="2" width="21.1634615384615" style="32" customWidth="1"/>
    <col min="3" max="3" width="11.8365384615385" style="32" customWidth="1"/>
    <col min="4" max="4" width="9.33653846153846" style="32" customWidth="1"/>
    <col min="5" max="5" width="12.1634615384615" style="32" customWidth="1"/>
    <col min="6" max="6" width="8.66346153846154" style="32" customWidth="1"/>
    <col min="7" max="7" width="13.3365384615385" style="32" customWidth="1"/>
    <col min="8" max="8" width="8.66346153846154" style="32" customWidth="1"/>
    <col min="9" max="10" width="8.5" style="32" customWidth="1"/>
    <col min="11" max="11" width="11.1634615384615" style="32" customWidth="1"/>
    <col min="12" max="12" width="8.5" style="32" customWidth="1"/>
    <col min="13" max="17" width="9.33653846153846" style="32" customWidth="1"/>
    <col min="18" max="16384" width="10.8365384615385" style="32"/>
  </cols>
  <sheetData>
    <row r="1" spans="1:17">
      <c r="A1" s="22" t="s">
        <v>0</v>
      </c>
      <c r="B1" s="22" t="s">
        <v>46</v>
      </c>
      <c r="C1" s="23" t="s">
        <v>2</v>
      </c>
      <c r="D1" s="23" t="s">
        <v>3</v>
      </c>
      <c r="E1" s="27" t="s">
        <v>4</v>
      </c>
      <c r="F1" s="23" t="s">
        <v>5</v>
      </c>
      <c r="G1" s="27" t="s">
        <v>6</v>
      </c>
      <c r="H1" s="23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4" t="s">
        <v>68</v>
      </c>
      <c r="C2" s="33">
        <v>65829</v>
      </c>
      <c r="D2" s="33">
        <v>3716</v>
      </c>
      <c r="E2" s="33">
        <v>8144.65</v>
      </c>
      <c r="F2" s="33">
        <v>63</v>
      </c>
      <c r="G2" s="33">
        <v>72170.36</v>
      </c>
      <c r="H2" s="33">
        <v>313</v>
      </c>
      <c r="I2" s="36">
        <v>8.86107567544339</v>
      </c>
      <c r="J2" s="37">
        <v>0.0564492852694101</v>
      </c>
      <c r="K2" s="37">
        <v>0.0169537136706136</v>
      </c>
      <c r="L2" s="36">
        <v>2.19177879440258</v>
      </c>
      <c r="M2" s="38">
        <v>26.0212460063898</v>
      </c>
      <c r="N2" s="35">
        <v>1</v>
      </c>
      <c r="O2" s="35">
        <v>1</v>
      </c>
      <c r="P2" s="35">
        <v>0.244514427514043</v>
      </c>
      <c r="Q2" s="35">
        <v>2.3447193820628</v>
      </c>
    </row>
    <row r="3" spans="1:17">
      <c r="A3" s="24" t="s">
        <v>17</v>
      </c>
      <c r="B3" s="24" t="s">
        <v>69</v>
      </c>
      <c r="C3" s="34">
        <v>6161</v>
      </c>
      <c r="D3" s="34">
        <v>488</v>
      </c>
      <c r="E3" s="34">
        <v>276.67</v>
      </c>
      <c r="F3" s="34">
        <v>5</v>
      </c>
      <c r="G3" s="34">
        <v>228</v>
      </c>
      <c r="H3" s="34">
        <v>0</v>
      </c>
      <c r="I3" s="36">
        <v>0.824086456789677</v>
      </c>
      <c r="J3" s="37">
        <v>0.0792079207920792</v>
      </c>
      <c r="K3" s="37">
        <v>0.0102459016393443</v>
      </c>
      <c r="L3" s="36">
        <v>0.566946721311475</v>
      </c>
      <c r="M3" s="38">
        <v>0</v>
      </c>
      <c r="N3" s="35">
        <v>0.0422755804927542</v>
      </c>
      <c r="O3" s="35">
        <v>0.00315919166815851</v>
      </c>
      <c r="P3" s="35">
        <v>1.46191493148247</v>
      </c>
      <c r="Q3" s="35">
        <v>91.6108360140239</v>
      </c>
    </row>
    <row r="4" spans="1:17">
      <c r="A4" s="24" t="s">
        <v>17</v>
      </c>
      <c r="B4" s="24" t="s">
        <v>31</v>
      </c>
      <c r="C4" s="34">
        <v>65829</v>
      </c>
      <c r="D4" s="34">
        <v>3716</v>
      </c>
      <c r="E4" s="34">
        <v>8144.65</v>
      </c>
      <c r="F4" s="34">
        <v>63</v>
      </c>
      <c r="G4" s="34">
        <v>72170.36</v>
      </c>
      <c r="H4" s="34">
        <v>313</v>
      </c>
      <c r="I4" s="36">
        <v>8.86107567544339</v>
      </c>
      <c r="J4" s="37">
        <v>0.0564492852694101</v>
      </c>
      <c r="K4" s="37">
        <v>0.0169537136706136</v>
      </c>
      <c r="L4" s="36">
        <v>2.19177879440258</v>
      </c>
      <c r="M4" s="38">
        <v>26.0212460063898</v>
      </c>
      <c r="N4" s="35">
        <v>1</v>
      </c>
      <c r="O4" s="35">
        <v>1</v>
      </c>
      <c r="P4" s="35">
        <v>0.244514427514043</v>
      </c>
      <c r="Q4" s="35">
        <v>2.34471938206281</v>
      </c>
    </row>
    <row r="5" spans="1:17">
      <c r="A5" s="24" t="s">
        <v>17</v>
      </c>
      <c r="B5" s="35" t="s">
        <v>32</v>
      </c>
      <c r="C5" s="35">
        <v>-0.410926174496644</v>
      </c>
      <c r="D5" s="35">
        <v>-0.0197836982326562</v>
      </c>
      <c r="E5" s="35">
        <v>0.244514427514043</v>
      </c>
      <c r="F5" s="35">
        <v>2.5</v>
      </c>
      <c r="G5" s="35">
        <v>3.16255152696301</v>
      </c>
      <c r="H5" s="35">
        <v>0.605128205128205</v>
      </c>
      <c r="I5" s="35">
        <v>2.34471938206281</v>
      </c>
      <c r="J5" s="35">
        <v>0.663995681576519</v>
      </c>
      <c r="K5" s="35">
        <v>2.57064047362756</v>
      </c>
      <c r="L5" s="35">
        <v>0.269632452827162</v>
      </c>
      <c r="M5" s="35">
        <v>-0.224663535574319</v>
      </c>
      <c r="N5" s="35" t="s">
        <v>33</v>
      </c>
      <c r="O5" s="35" t="s">
        <v>33</v>
      </c>
      <c r="P5" s="35" t="s">
        <v>33</v>
      </c>
      <c r="Q5" s="35" t="s">
        <v>33</v>
      </c>
    </row>
  </sheetData>
  <sheetProtection formatCells="0" insertHyperlinks="0" autoFilter="0"/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O16" sqref="O16"/>
    </sheetView>
  </sheetViews>
  <sheetFormatPr defaultColWidth="9.23076923076923" defaultRowHeight="16.8" outlineLevelRow="4"/>
  <cols>
    <col min="1" max="1" width="24.1923076923077" customWidth="1"/>
  </cols>
  <sheetData>
    <row r="1" spans="1:17">
      <c r="A1" s="22" t="s">
        <v>0</v>
      </c>
      <c r="B1" s="22" t="s">
        <v>46</v>
      </c>
      <c r="C1" s="23" t="s">
        <v>2</v>
      </c>
      <c r="D1" s="23" t="s">
        <v>3</v>
      </c>
      <c r="E1" s="27" t="s">
        <v>4</v>
      </c>
      <c r="F1" s="23" t="s">
        <v>5</v>
      </c>
      <c r="G1" s="27" t="s">
        <v>6</v>
      </c>
      <c r="H1" s="23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4" t="s">
        <v>17</v>
      </c>
      <c r="B2" s="25" t="s">
        <v>70</v>
      </c>
      <c r="C2" s="25">
        <v>161711</v>
      </c>
      <c r="D2" s="25">
        <v>5297</v>
      </c>
      <c r="E2" s="25">
        <v>15457.02</v>
      </c>
      <c r="F2" s="25">
        <v>141</v>
      </c>
      <c r="G2" s="25">
        <v>62213.69</v>
      </c>
      <c r="H2" s="25">
        <v>496</v>
      </c>
      <c r="I2" s="29">
        <v>4.02494724080062</v>
      </c>
      <c r="J2" s="30">
        <v>0.0327559658897663</v>
      </c>
      <c r="K2" s="30">
        <v>0.0266188408533132</v>
      </c>
      <c r="L2" s="29">
        <v>2.9180706060034</v>
      </c>
      <c r="M2" s="31">
        <v>31.1633467741935</v>
      </c>
      <c r="N2" s="26">
        <v>0.834815605744163</v>
      </c>
      <c r="O2" s="26">
        <v>0.903846153846154</v>
      </c>
      <c r="P2" s="26">
        <v>0.219903572733608</v>
      </c>
      <c r="Q2" s="26">
        <v>-0.467928642057364</v>
      </c>
    </row>
    <row r="3" spans="1:17">
      <c r="A3" s="24" t="s">
        <v>17</v>
      </c>
      <c r="B3" s="25" t="s">
        <v>71</v>
      </c>
      <c r="C3" s="25">
        <v>42522</v>
      </c>
      <c r="D3" s="25">
        <v>1398</v>
      </c>
      <c r="E3" s="25">
        <v>3058.47</v>
      </c>
      <c r="F3" s="25">
        <v>15</v>
      </c>
      <c r="G3" s="25">
        <v>5150.26</v>
      </c>
      <c r="H3" s="25">
        <v>122</v>
      </c>
      <c r="I3" s="29">
        <v>1.68393347000298</v>
      </c>
      <c r="J3" s="30">
        <v>0.0328770989135036</v>
      </c>
      <c r="K3" s="30">
        <v>0.0107296137339056</v>
      </c>
      <c r="L3" s="29">
        <v>2.18774678111588</v>
      </c>
      <c r="M3" s="31">
        <v>25.0694262295082</v>
      </c>
      <c r="N3" s="26">
        <v>0.165184394255837</v>
      </c>
      <c r="O3" s="26">
        <v>0.0961538461538462</v>
      </c>
      <c r="P3" s="26">
        <v>0</v>
      </c>
      <c r="Q3" s="26">
        <v>0</v>
      </c>
    </row>
    <row r="4" spans="1:17">
      <c r="A4" s="24" t="s">
        <v>17</v>
      </c>
      <c r="B4" s="25" t="s">
        <v>31</v>
      </c>
      <c r="C4" s="25">
        <v>204233</v>
      </c>
      <c r="D4" s="25">
        <v>6695</v>
      </c>
      <c r="E4" s="25">
        <v>18515.49</v>
      </c>
      <c r="F4" s="25">
        <v>156</v>
      </c>
      <c r="G4" s="25">
        <v>67363.95</v>
      </c>
      <c r="H4" s="25">
        <v>618</v>
      </c>
      <c r="I4" s="29">
        <v>3.63824829912684</v>
      </c>
      <c r="J4" s="30">
        <v>0.0327811861941998</v>
      </c>
      <c r="K4" s="30">
        <v>0.0233009708737864</v>
      </c>
      <c r="L4" s="29">
        <v>2.76556982823002</v>
      </c>
      <c r="M4" s="31">
        <v>29.9603398058252</v>
      </c>
      <c r="N4" s="26">
        <v>1</v>
      </c>
      <c r="O4" s="26">
        <v>1</v>
      </c>
      <c r="P4" s="26">
        <v>0.461285060245338</v>
      </c>
      <c r="Q4" s="26">
        <v>-0.519047680072486</v>
      </c>
    </row>
    <row r="5" spans="1:17">
      <c r="A5" s="24" t="s">
        <v>17</v>
      </c>
      <c r="B5" t="s">
        <v>32</v>
      </c>
      <c r="C5" s="26">
        <v>0.331835640736369</v>
      </c>
      <c r="D5" s="26">
        <v>0.127484001347255</v>
      </c>
      <c r="E5" s="26">
        <v>0.461285060245338</v>
      </c>
      <c r="F5" s="26">
        <v>-0.284403669724771</v>
      </c>
      <c r="G5" s="26">
        <v>-0.297191560199588</v>
      </c>
      <c r="H5" s="26">
        <v>-0.243574051407589</v>
      </c>
      <c r="I5" s="26">
        <v>-0.519047680072486</v>
      </c>
      <c r="J5" s="26">
        <v>-0.153436079602232</v>
      </c>
      <c r="K5" s="26">
        <v>-0.365315756658056</v>
      </c>
      <c r="L5" s="26">
        <v>0.29605835515113</v>
      </c>
      <c r="M5" s="26">
        <v>0.931828307800067</v>
      </c>
      <c r="N5" s="26" t="s">
        <v>33</v>
      </c>
      <c r="O5" s="26" t="s">
        <v>33</v>
      </c>
      <c r="P5" s="26" t="s">
        <v>33</v>
      </c>
      <c r="Q5" s="26" t="s">
        <v>33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workbookViewId="0">
      <pane ySplit="1" topLeftCell="A19" activePane="bottomLeft" state="frozen"/>
      <selection/>
      <selection pane="bottomLeft" activeCell="C41" sqref="C41"/>
    </sheetView>
  </sheetViews>
  <sheetFormatPr defaultColWidth="11" defaultRowHeight="16.8"/>
  <cols>
    <col min="1" max="1" width="15.6634615384615" customWidth="1"/>
  </cols>
  <sheetData>
    <row r="1" spans="1:17">
      <c r="A1" s="1" t="s">
        <v>0</v>
      </c>
      <c r="B1" s="1" t="s">
        <v>46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7.6" spans="1:17">
      <c r="A2" s="3" t="s">
        <v>72</v>
      </c>
      <c r="B2" s="4" t="s">
        <v>73</v>
      </c>
      <c r="C2" s="5">
        <v>3674037</v>
      </c>
      <c r="D2" s="5">
        <v>181760</v>
      </c>
      <c r="E2" s="5">
        <v>212185.62</v>
      </c>
      <c r="F2" s="5">
        <v>1429</v>
      </c>
      <c r="G2" s="5">
        <v>1451927.37</v>
      </c>
      <c r="H2" s="5">
        <v>4298</v>
      </c>
      <c r="I2" s="13">
        <f>G2/E2</f>
        <v>6.84272275378511</v>
      </c>
      <c r="J2" s="14">
        <f>D2/C2</f>
        <v>0.0494714669449437</v>
      </c>
      <c r="K2" s="14">
        <f>F2/D2</f>
        <v>0.00786201584507042</v>
      </c>
      <c r="L2" s="13">
        <f>E2/D2</f>
        <v>1.16739447623239</v>
      </c>
      <c r="M2" s="17">
        <f>E2/H2</f>
        <v>49.3684550953932</v>
      </c>
      <c r="N2" s="18">
        <f>E2/$E$5</f>
        <v>0.792455565700736</v>
      </c>
      <c r="O2" s="18">
        <f>G2/$G$5</f>
        <v>0.877979516898444</v>
      </c>
      <c r="P2" s="19"/>
      <c r="Q2" s="19"/>
    </row>
    <row r="3" ht="17.6" spans="1:17">
      <c r="A3" s="6"/>
      <c r="B3" s="4" t="s">
        <v>74</v>
      </c>
      <c r="C3" s="5">
        <v>806106</v>
      </c>
      <c r="D3" s="5">
        <v>13717</v>
      </c>
      <c r="E3" s="5">
        <v>23709.75</v>
      </c>
      <c r="F3" s="5">
        <v>53</v>
      </c>
      <c r="G3" s="5">
        <v>111311.23</v>
      </c>
      <c r="H3" s="5">
        <v>317</v>
      </c>
      <c r="I3" s="13">
        <f t="shared" ref="I3:I9" si="0">G3/E3</f>
        <v>4.69474498887588</v>
      </c>
      <c r="J3" s="14">
        <f t="shared" ref="J3:J9" si="1">D3/C3</f>
        <v>0.0170163725366143</v>
      </c>
      <c r="K3" s="14">
        <f t="shared" ref="K3:K9" si="2">F3/D3</f>
        <v>0.00386381861923161</v>
      </c>
      <c r="L3" s="13">
        <f t="shared" ref="L3:L9" si="3">E3/D3</f>
        <v>1.72849383976088</v>
      </c>
      <c r="M3" s="17">
        <f t="shared" ref="M3:M9" si="4">E3/H3</f>
        <v>74.7941640378549</v>
      </c>
      <c r="N3" s="18">
        <f>E3/$E$5</f>
        <v>0.0885494660235366</v>
      </c>
      <c r="O3" s="18">
        <f>G3/$G$5</f>
        <v>0.0673098268963492</v>
      </c>
      <c r="P3" s="19"/>
      <c r="Q3" s="19"/>
    </row>
    <row r="4" ht="17.6" spans="1:17">
      <c r="A4" s="6"/>
      <c r="B4" s="4" t="s">
        <v>75</v>
      </c>
      <c r="C4" s="5">
        <v>584712</v>
      </c>
      <c r="D4" s="5">
        <v>9693</v>
      </c>
      <c r="E4" s="5">
        <v>31861.75</v>
      </c>
      <c r="F4" s="5">
        <v>51</v>
      </c>
      <c r="G4" s="5">
        <v>90475.8</v>
      </c>
      <c r="H4" s="5">
        <v>383</v>
      </c>
      <c r="I4" s="13">
        <f t="shared" si="0"/>
        <v>2.83963686865913</v>
      </c>
      <c r="J4" s="14">
        <f t="shared" si="1"/>
        <v>0.0165773919468046</v>
      </c>
      <c r="K4" s="14">
        <f t="shared" si="2"/>
        <v>0.00526152893840916</v>
      </c>
      <c r="L4" s="13">
        <f t="shared" si="3"/>
        <v>3.28708862065408</v>
      </c>
      <c r="M4" s="17">
        <f t="shared" si="4"/>
        <v>83.1899477806788</v>
      </c>
      <c r="N4" s="18">
        <f>E4/$E$5</f>
        <v>0.118994968275727</v>
      </c>
      <c r="O4" s="18">
        <f>G4/$G$5</f>
        <v>0.0547106562052069</v>
      </c>
      <c r="P4" s="19"/>
      <c r="Q4" s="19"/>
    </row>
    <row r="5" spans="1:17">
      <c r="A5" s="7"/>
      <c r="B5" s="8" t="s">
        <v>31</v>
      </c>
      <c r="C5" s="9">
        <f t="shared" ref="C5:H5" si="5">SUM(C2:C4)</f>
        <v>5064855</v>
      </c>
      <c r="D5" s="9">
        <f t="shared" si="5"/>
        <v>205170</v>
      </c>
      <c r="E5" s="9">
        <f t="shared" si="5"/>
        <v>267757.12</v>
      </c>
      <c r="F5" s="9">
        <f t="shared" si="5"/>
        <v>1533</v>
      </c>
      <c r="G5" s="9">
        <f t="shared" si="5"/>
        <v>1653714.4</v>
      </c>
      <c r="H5" s="9">
        <f t="shared" si="5"/>
        <v>4998</v>
      </c>
      <c r="I5" s="15">
        <f t="shared" si="0"/>
        <v>6.17617339176639</v>
      </c>
      <c r="J5" s="16">
        <f t="shared" si="1"/>
        <v>0.0405085634238295</v>
      </c>
      <c r="K5" s="16">
        <f t="shared" si="2"/>
        <v>0.00747185261003071</v>
      </c>
      <c r="L5" s="15">
        <f t="shared" si="3"/>
        <v>1.30505005605108</v>
      </c>
      <c r="M5" s="20">
        <f t="shared" si="4"/>
        <v>53.5728531412565</v>
      </c>
      <c r="N5" s="12">
        <f>E5/$E$5</f>
        <v>1</v>
      </c>
      <c r="O5" s="12">
        <f>G5/$G$5</f>
        <v>1</v>
      </c>
      <c r="P5" s="19"/>
      <c r="Q5" s="19"/>
    </row>
    <row r="6" ht="17.6" spans="1:17">
      <c r="A6" s="3" t="s">
        <v>76</v>
      </c>
      <c r="B6" s="4" t="s">
        <v>73</v>
      </c>
      <c r="C6" s="5">
        <v>3063089</v>
      </c>
      <c r="D6" s="5">
        <v>200123</v>
      </c>
      <c r="E6" s="5">
        <v>159846.59</v>
      </c>
      <c r="F6" s="5">
        <v>660</v>
      </c>
      <c r="G6" s="5">
        <v>747974.98</v>
      </c>
      <c r="H6" s="5">
        <v>2762</v>
      </c>
      <c r="I6" s="13">
        <f t="shared" si="0"/>
        <v>4.67933022531166</v>
      </c>
      <c r="J6" s="14">
        <f t="shared" si="1"/>
        <v>0.0653337203065272</v>
      </c>
      <c r="K6" s="14">
        <f t="shared" si="2"/>
        <v>0.00329797174737536</v>
      </c>
      <c r="L6" s="13">
        <f t="shared" si="3"/>
        <v>0.798741723839838</v>
      </c>
      <c r="M6" s="17">
        <f t="shared" si="4"/>
        <v>57.8734938450398</v>
      </c>
      <c r="N6" s="18">
        <f>E6/$E$9</f>
        <v>0.771310990781563</v>
      </c>
      <c r="O6" s="18">
        <f>G6/$G$9</f>
        <v>0.850730168139704</v>
      </c>
      <c r="P6" s="18">
        <f>E6/E2-1</f>
        <v>-0.246666244394884</v>
      </c>
      <c r="Q6" s="18">
        <f>I6/I2-1</f>
        <v>-0.316159605805562</v>
      </c>
    </row>
    <row r="7" ht="17.6" spans="1:17">
      <c r="A7" s="6"/>
      <c r="B7" s="4" t="s">
        <v>74</v>
      </c>
      <c r="C7" s="5">
        <v>280460</v>
      </c>
      <c r="D7" s="5">
        <v>5243</v>
      </c>
      <c r="E7" s="5">
        <v>16075.95</v>
      </c>
      <c r="F7" s="5">
        <v>33</v>
      </c>
      <c r="G7" s="5">
        <v>65867.32</v>
      </c>
      <c r="H7" s="5">
        <v>199</v>
      </c>
      <c r="I7" s="13">
        <f t="shared" si="0"/>
        <v>4.09725832687959</v>
      </c>
      <c r="J7" s="14">
        <f t="shared" si="1"/>
        <v>0.0186942879555017</v>
      </c>
      <c r="K7" s="14">
        <f t="shared" si="2"/>
        <v>0.00629410642761778</v>
      </c>
      <c r="L7" s="13">
        <f t="shared" si="3"/>
        <v>3.066173946214</v>
      </c>
      <c r="M7" s="17">
        <f t="shared" si="4"/>
        <v>80.7836683417085</v>
      </c>
      <c r="N7" s="18">
        <f>E7/$E$9</f>
        <v>0.0775716073909045</v>
      </c>
      <c r="O7" s="18">
        <f>G7/$G$9</f>
        <v>0.0749160302374174</v>
      </c>
      <c r="P7" s="18">
        <f>E7/E3-1</f>
        <v>-0.32196881029956</v>
      </c>
      <c r="Q7" s="18">
        <f>I7/I3-1</f>
        <v>-0.127267117471135</v>
      </c>
    </row>
    <row r="8" ht="17.6" spans="1:17">
      <c r="A8" s="6"/>
      <c r="B8" s="4" t="s">
        <v>75</v>
      </c>
      <c r="C8" s="5">
        <v>570542</v>
      </c>
      <c r="D8" s="5">
        <v>9917</v>
      </c>
      <c r="E8" s="5">
        <v>31317.59</v>
      </c>
      <c r="F8" s="5">
        <v>27</v>
      </c>
      <c r="G8" s="5">
        <v>65373</v>
      </c>
      <c r="H8" s="5">
        <v>434</v>
      </c>
      <c r="I8" s="13">
        <f t="shared" si="0"/>
        <v>2.08742115852465</v>
      </c>
      <c r="J8" s="14">
        <f t="shared" si="1"/>
        <v>0.017381717735066</v>
      </c>
      <c r="K8" s="14">
        <f t="shared" si="2"/>
        <v>0.00272259755974589</v>
      </c>
      <c r="L8" s="13">
        <f t="shared" si="3"/>
        <v>3.15797015226379</v>
      </c>
      <c r="M8" s="17">
        <f t="shared" si="4"/>
        <v>72.1603456221198</v>
      </c>
      <c r="N8" s="18">
        <f>E8/$E$9</f>
        <v>0.151117401827532</v>
      </c>
      <c r="O8" s="18">
        <f>G8/$G$9</f>
        <v>0.0743538016228789</v>
      </c>
      <c r="P8" s="18">
        <f>E8/E4-1</f>
        <v>-0.0170787856913069</v>
      </c>
      <c r="Q8" s="18">
        <f>I8/I4-1</f>
        <v>-0.264898557430575</v>
      </c>
    </row>
    <row r="9" spans="1:17">
      <c r="A9" s="7"/>
      <c r="B9" s="8" t="s">
        <v>31</v>
      </c>
      <c r="C9" s="9">
        <f t="shared" ref="C9:H9" si="6">SUM(C6:C8)</f>
        <v>3914091</v>
      </c>
      <c r="D9" s="9">
        <f t="shared" si="6"/>
        <v>215283</v>
      </c>
      <c r="E9" s="9">
        <f t="shared" si="6"/>
        <v>207240.13</v>
      </c>
      <c r="F9" s="9">
        <f t="shared" si="6"/>
        <v>720</v>
      </c>
      <c r="G9" s="9">
        <f t="shared" si="6"/>
        <v>879215.3</v>
      </c>
      <c r="H9" s="9">
        <f t="shared" si="6"/>
        <v>3395</v>
      </c>
      <c r="I9" s="15">
        <f t="shared" si="0"/>
        <v>4.24249540858713</v>
      </c>
      <c r="J9" s="16">
        <f t="shared" si="1"/>
        <v>0.0550020426198573</v>
      </c>
      <c r="K9" s="16">
        <f t="shared" si="2"/>
        <v>0.00334443499951227</v>
      </c>
      <c r="L9" s="15">
        <f t="shared" si="3"/>
        <v>0.962640477882601</v>
      </c>
      <c r="M9" s="20">
        <f t="shared" si="4"/>
        <v>61.0427481590574</v>
      </c>
      <c r="N9" s="12">
        <f>E9/$E$9</f>
        <v>1</v>
      </c>
      <c r="O9" s="12">
        <f>G9/$G$9</f>
        <v>1</v>
      </c>
      <c r="P9" s="12">
        <f>E9/E5-1</f>
        <v>-0.226014494031008</v>
      </c>
      <c r="Q9" s="12">
        <f>I9/I5-1</f>
        <v>-0.313086738425624</v>
      </c>
    </row>
    <row r="10" hidden="1" spans="1:17">
      <c r="A10" s="10" t="s">
        <v>77</v>
      </c>
      <c r="B10" s="11"/>
      <c r="C10" s="12">
        <f t="shared" ref="C10:M10" si="7">C9/C5-1</f>
        <v>-0.227205714674951</v>
      </c>
      <c r="D10" s="12">
        <f t="shared" si="7"/>
        <v>0.0492908319929815</v>
      </c>
      <c r="E10" s="12">
        <f t="shared" si="7"/>
        <v>-0.226014494031008</v>
      </c>
      <c r="F10" s="12">
        <f t="shared" si="7"/>
        <v>-0.530332681017613</v>
      </c>
      <c r="G10" s="12">
        <f t="shared" si="7"/>
        <v>-0.468339091683546</v>
      </c>
      <c r="H10" s="12">
        <f t="shared" si="7"/>
        <v>-0.320728291316527</v>
      </c>
      <c r="I10" s="12">
        <f t="shared" si="7"/>
        <v>-0.313086738425624</v>
      </c>
      <c r="J10" s="12">
        <f t="shared" si="7"/>
        <v>0.357788032233745</v>
      </c>
      <c r="K10" s="12">
        <f t="shared" si="7"/>
        <v>-0.552395480202262</v>
      </c>
      <c r="L10" s="12">
        <f t="shared" si="7"/>
        <v>-0.262372754654766</v>
      </c>
      <c r="M10" s="12">
        <f t="shared" si="7"/>
        <v>0.13943433249868</v>
      </c>
      <c r="N10" s="21" t="s">
        <v>33</v>
      </c>
      <c r="O10" s="21" t="s">
        <v>33</v>
      </c>
      <c r="P10" s="21" t="s">
        <v>33</v>
      </c>
      <c r="Q10" s="21" t="s">
        <v>33</v>
      </c>
    </row>
    <row r="11" ht="17.6" spans="1:17">
      <c r="A11" s="3" t="s">
        <v>78</v>
      </c>
      <c r="B11" s="4" t="s">
        <v>73</v>
      </c>
      <c r="C11" s="5">
        <v>4145371</v>
      </c>
      <c r="D11" s="5">
        <v>212460</v>
      </c>
      <c r="E11" s="5">
        <v>197221.42</v>
      </c>
      <c r="F11" s="5">
        <v>600</v>
      </c>
      <c r="G11" s="5">
        <v>633660.24</v>
      </c>
      <c r="H11" s="5">
        <v>2848</v>
      </c>
      <c r="I11" s="13">
        <f>G11/E11</f>
        <v>3.21293822952902</v>
      </c>
      <c r="J11" s="14">
        <f>D11/C11</f>
        <v>0.0512523487041329</v>
      </c>
      <c r="K11" s="14">
        <f>F11/D11</f>
        <v>0.00282406099971759</v>
      </c>
      <c r="L11" s="13">
        <f>E11/D11</f>
        <v>0.928275534218206</v>
      </c>
      <c r="M11" s="17">
        <f>E11/H11</f>
        <v>69.2490941011236</v>
      </c>
      <c r="N11" s="18">
        <f>E11/$E$14</f>
        <v>0.73383007837027</v>
      </c>
      <c r="O11" s="18">
        <f>G11/$G$14</f>
        <v>0.83971050234059</v>
      </c>
      <c r="P11" s="18">
        <f>E11/E6-1</f>
        <v>0.233816874041542</v>
      </c>
      <c r="Q11" s="18">
        <f>I11/I6-1</f>
        <v>-0.313376471669077</v>
      </c>
    </row>
    <row r="12" ht="17.6" spans="1:17">
      <c r="A12" s="6"/>
      <c r="B12" s="4" t="s">
        <v>74</v>
      </c>
      <c r="C12" s="5">
        <v>626020</v>
      </c>
      <c r="D12" s="5">
        <v>9442</v>
      </c>
      <c r="E12" s="5">
        <v>31602.94</v>
      </c>
      <c r="F12" s="5">
        <v>34</v>
      </c>
      <c r="G12" s="5">
        <v>62861.37</v>
      </c>
      <c r="H12" s="5">
        <v>284</v>
      </c>
      <c r="I12" s="13">
        <f>G12/E12</f>
        <v>1.98909879903579</v>
      </c>
      <c r="J12" s="14">
        <f>D12/C12</f>
        <v>0.0150825852209195</v>
      </c>
      <c r="K12" s="14">
        <f>F12/D12</f>
        <v>0.00360093200593095</v>
      </c>
      <c r="L12" s="13">
        <f>E12/D12</f>
        <v>3.34705994492692</v>
      </c>
      <c r="M12" s="17">
        <f>E12/H12</f>
        <v>111.277957746479</v>
      </c>
      <c r="N12" s="18">
        <f>E12/$E$14</f>
        <v>0.117589600241855</v>
      </c>
      <c r="O12" s="18">
        <f>G12/$G$14</f>
        <v>0.0833022955338301</v>
      </c>
      <c r="P12" s="18">
        <f>E12/E7-1</f>
        <v>0.965852095832594</v>
      </c>
      <c r="Q12" s="18">
        <f>I12/I7-1</f>
        <v>-0.514529316839377</v>
      </c>
    </row>
    <row r="13" ht="17.6" spans="1:17">
      <c r="A13" s="6"/>
      <c r="B13" s="4" t="s">
        <v>75</v>
      </c>
      <c r="C13" s="5">
        <v>805983</v>
      </c>
      <c r="D13" s="5">
        <v>15416</v>
      </c>
      <c r="E13" s="5">
        <v>39931.89</v>
      </c>
      <c r="F13" s="5">
        <v>25</v>
      </c>
      <c r="G13" s="5">
        <v>58095.89</v>
      </c>
      <c r="H13" s="5">
        <v>558</v>
      </c>
      <c r="I13" s="13">
        <f>G13/E13</f>
        <v>1.45487453761893</v>
      </c>
      <c r="J13" s="14">
        <f>D13/C13</f>
        <v>0.0191269542905992</v>
      </c>
      <c r="K13" s="14">
        <f>F13/D13</f>
        <v>0.00162169174883238</v>
      </c>
      <c r="L13" s="13">
        <f>E13/D13</f>
        <v>2.59028866113129</v>
      </c>
      <c r="M13" s="17">
        <f>E13/H13</f>
        <v>71.5625268817204</v>
      </c>
      <c r="N13" s="18">
        <f>E13/$E$14</f>
        <v>0.148580321387875</v>
      </c>
      <c r="O13" s="18">
        <f>G13/$G$14</f>
        <v>0.0769872021255802</v>
      </c>
      <c r="P13" s="18">
        <f>E13/E8-1</f>
        <v>0.275062672447018</v>
      </c>
      <c r="Q13" s="18">
        <f>I13/I8-1</f>
        <v>-0.30302779021019</v>
      </c>
    </row>
    <row r="14" spans="1:17">
      <c r="A14" s="7"/>
      <c r="B14" s="8" t="s">
        <v>31</v>
      </c>
      <c r="C14" s="9">
        <f t="shared" ref="C14:H14" si="8">SUM(C11:C13)</f>
        <v>5577374</v>
      </c>
      <c r="D14" s="9">
        <f t="shared" si="8"/>
        <v>237318</v>
      </c>
      <c r="E14" s="9">
        <f t="shared" si="8"/>
        <v>268756.25</v>
      </c>
      <c r="F14" s="9">
        <f t="shared" si="8"/>
        <v>659</v>
      </c>
      <c r="G14" s="9">
        <f t="shared" si="8"/>
        <v>754617.5</v>
      </c>
      <c r="H14" s="9">
        <f t="shared" si="8"/>
        <v>3690</v>
      </c>
      <c r="I14" s="15">
        <f>G14/E14</f>
        <v>2.80781377177275</v>
      </c>
      <c r="J14" s="16">
        <f>D14/C14</f>
        <v>0.0425501320155328</v>
      </c>
      <c r="K14" s="16">
        <f>F14/D14</f>
        <v>0.00277686479744478</v>
      </c>
      <c r="L14" s="15">
        <f>E14/D14</f>
        <v>1.13247309517188</v>
      </c>
      <c r="M14" s="20">
        <f>E14/H14</f>
        <v>72.8336720867209</v>
      </c>
      <c r="N14" s="12">
        <f>E14/$E$14</f>
        <v>1</v>
      </c>
      <c r="O14" s="12">
        <f>G14/$G$14</f>
        <v>1</v>
      </c>
      <c r="P14" s="12">
        <f>E14/E9-1</f>
        <v>0.296834980753969</v>
      </c>
      <c r="Q14" s="12">
        <f>I14/I9-1</f>
        <v>-0.338169284499513</v>
      </c>
    </row>
    <row r="15" hidden="1" spans="1:17">
      <c r="A15" s="10" t="s">
        <v>77</v>
      </c>
      <c r="B15" s="11"/>
      <c r="C15" s="12">
        <f>C14/C9-1</f>
        <v>0.424947452678029</v>
      </c>
      <c r="D15" s="12">
        <f t="shared" ref="D15:M15" si="9">D14/D9-1</f>
        <v>0.102353646130907</v>
      </c>
      <c r="E15" s="12">
        <f t="shared" si="9"/>
        <v>0.296834980753969</v>
      </c>
      <c r="F15" s="12">
        <f t="shared" si="9"/>
        <v>-0.0847222222222223</v>
      </c>
      <c r="G15" s="12">
        <f t="shared" si="9"/>
        <v>-0.141714776801541</v>
      </c>
      <c r="H15" s="12">
        <f t="shared" si="9"/>
        <v>0.0868924889543445</v>
      </c>
      <c r="I15" s="12">
        <f t="shared" si="9"/>
        <v>-0.338169284499513</v>
      </c>
      <c r="J15" s="12">
        <f t="shared" si="9"/>
        <v>-0.226389966830597</v>
      </c>
      <c r="K15" s="12">
        <f t="shared" si="9"/>
        <v>-0.169705855294022</v>
      </c>
      <c r="L15" s="12">
        <f t="shared" si="9"/>
        <v>0.176423723281237</v>
      </c>
      <c r="M15" s="12">
        <f t="shared" si="9"/>
        <v>0.1931584714525</v>
      </c>
      <c r="N15" s="21" t="s">
        <v>33</v>
      </c>
      <c r="O15" s="21" t="s">
        <v>33</v>
      </c>
      <c r="P15" s="21" t="s">
        <v>33</v>
      </c>
      <c r="Q15" s="21" t="s">
        <v>33</v>
      </c>
    </row>
    <row r="16" ht="17.6" spans="1:17">
      <c r="A16" s="3" t="s">
        <v>79</v>
      </c>
      <c r="B16" s="4" t="s">
        <v>73</v>
      </c>
      <c r="C16" s="5">
        <v>4219228</v>
      </c>
      <c r="D16" s="5">
        <v>206544</v>
      </c>
      <c r="E16" s="5">
        <v>236045.08</v>
      </c>
      <c r="F16" s="5">
        <v>832</v>
      </c>
      <c r="G16" s="5">
        <v>952218.850000001</v>
      </c>
      <c r="H16" s="5">
        <v>2751</v>
      </c>
      <c r="I16" s="13">
        <f>G16/E16</f>
        <v>4.03405506270243</v>
      </c>
      <c r="J16" s="14">
        <f>D16/C16</f>
        <v>0.0489530312180333</v>
      </c>
      <c r="K16" s="14">
        <f>F16/D16</f>
        <v>0.0040281973816717</v>
      </c>
      <c r="L16" s="13">
        <f>E16/D16</f>
        <v>1.14283193895732</v>
      </c>
      <c r="M16" s="17">
        <f>E16/H16</f>
        <v>85.8033733187932</v>
      </c>
      <c r="N16" s="18">
        <f>E16/$E$19</f>
        <v>0.758063070427855</v>
      </c>
      <c r="O16" s="18">
        <f>G16/$G$19</f>
        <v>0.861714766312369</v>
      </c>
      <c r="P16" s="18">
        <f>E16/E11-1</f>
        <v>0.196853161284408</v>
      </c>
      <c r="Q16" s="18">
        <f>I16/I11-1</f>
        <v>0.255565707932635</v>
      </c>
    </row>
    <row r="17" ht="17.6" spans="1:17">
      <c r="A17" s="6"/>
      <c r="B17" s="4" t="s">
        <v>74</v>
      </c>
      <c r="C17" s="5">
        <v>641419</v>
      </c>
      <c r="D17" s="5">
        <v>8924</v>
      </c>
      <c r="E17" s="5">
        <v>33143.82</v>
      </c>
      <c r="F17" s="5">
        <v>48</v>
      </c>
      <c r="G17" s="5">
        <v>99721.14</v>
      </c>
      <c r="H17" s="5">
        <v>266</v>
      </c>
      <c r="I17" s="13">
        <f>G17/E17</f>
        <v>3.00874009091288</v>
      </c>
      <c r="J17" s="14">
        <f>D17/C17</f>
        <v>0.0139129024865182</v>
      </c>
      <c r="K17" s="14">
        <f>F17/D17</f>
        <v>0.00537875392200807</v>
      </c>
      <c r="L17" s="13">
        <f>E17/D17</f>
        <v>3.71400941281936</v>
      </c>
      <c r="M17" s="17">
        <f>E17/H17</f>
        <v>124.600827067669</v>
      </c>
      <c r="N17" s="18">
        <f>E17/$E$19</f>
        <v>0.106441981145755</v>
      </c>
      <c r="O17" s="18">
        <f>G17/$G$19</f>
        <v>0.0902430978461548</v>
      </c>
      <c r="P17" s="18">
        <f>E17/E12-1</f>
        <v>0.0487574890184268</v>
      </c>
      <c r="Q17" s="18">
        <f>I17/I12-1</f>
        <v>0.512614703890707</v>
      </c>
    </row>
    <row r="18" ht="17.6" spans="1:17">
      <c r="A18" s="6"/>
      <c r="B18" s="4" t="s">
        <v>75</v>
      </c>
      <c r="C18" s="5">
        <v>792239</v>
      </c>
      <c r="D18" s="5">
        <v>14346</v>
      </c>
      <c r="E18" s="5">
        <v>42190.31</v>
      </c>
      <c r="F18" s="5">
        <v>23</v>
      </c>
      <c r="G18" s="5">
        <v>53087.9</v>
      </c>
      <c r="H18" s="5">
        <v>396</v>
      </c>
      <c r="I18" s="13">
        <f>G18/E18</f>
        <v>1.25829604001488</v>
      </c>
      <c r="J18" s="14">
        <f>D18/C18</f>
        <v>0.0181081719026708</v>
      </c>
      <c r="K18" s="14">
        <f>F18/D18</f>
        <v>0.00160323435103862</v>
      </c>
      <c r="L18" s="13">
        <f>E18/D18</f>
        <v>2.94091105534644</v>
      </c>
      <c r="M18" s="17">
        <f>E18/H18</f>
        <v>106.541186868687</v>
      </c>
      <c r="N18" s="18">
        <f>E18/$E$19</f>
        <v>0.13549494842639</v>
      </c>
      <c r="O18" s="18">
        <f>G18/$G$19</f>
        <v>0.0480421358414763</v>
      </c>
      <c r="P18" s="18">
        <f>E18/E13-1</f>
        <v>0.0565568020947669</v>
      </c>
      <c r="Q18" s="18">
        <f>I18/I13-1</f>
        <v>-0.135117147576023</v>
      </c>
    </row>
    <row r="19" spans="1:17">
      <c r="A19" s="7"/>
      <c r="B19" s="8" t="s">
        <v>31</v>
      </c>
      <c r="C19" s="9">
        <f t="shared" ref="C19:H19" si="10">SUM(C16:C18)</f>
        <v>5652886</v>
      </c>
      <c r="D19" s="9">
        <f t="shared" si="10"/>
        <v>229814</v>
      </c>
      <c r="E19" s="9">
        <f t="shared" si="10"/>
        <v>311379.21</v>
      </c>
      <c r="F19" s="9">
        <f t="shared" si="10"/>
        <v>903</v>
      </c>
      <c r="G19" s="9">
        <f t="shared" si="10"/>
        <v>1105027.89</v>
      </c>
      <c r="H19" s="9">
        <f t="shared" si="10"/>
        <v>3413</v>
      </c>
      <c r="I19" s="15">
        <f>G19/E19</f>
        <v>3.54881718018361</v>
      </c>
      <c r="J19" s="16">
        <f>D19/C19</f>
        <v>0.0406542781863989</v>
      </c>
      <c r="K19" s="16">
        <f>F19/D19</f>
        <v>0.00392926453566798</v>
      </c>
      <c r="L19" s="15">
        <f>E19/D19</f>
        <v>1.35491836876779</v>
      </c>
      <c r="M19" s="20">
        <f>E19/H19</f>
        <v>91.2332874304131</v>
      </c>
      <c r="N19" s="12">
        <f>E19/$E$19</f>
        <v>1</v>
      </c>
      <c r="O19" s="12">
        <f>G19/$G$19</f>
        <v>1</v>
      </c>
      <c r="P19" s="12">
        <f>E19/E14-1</f>
        <v>0.158593372247157</v>
      </c>
      <c r="Q19" s="12">
        <f>I19/I14-1</f>
        <v>0.263907605219495</v>
      </c>
    </row>
    <row r="20" hidden="1" spans="1:17">
      <c r="A20" s="10" t="s">
        <v>77</v>
      </c>
      <c r="B20" s="11"/>
      <c r="C20" s="12">
        <f>C19/C14-1</f>
        <v>0.0135389880614067</v>
      </c>
      <c r="D20" s="12">
        <f t="shared" ref="D20:M20" si="11">D19/D14-1</f>
        <v>-0.031620020394576</v>
      </c>
      <c r="E20" s="12">
        <f t="shared" si="11"/>
        <v>0.158593372247157</v>
      </c>
      <c r="F20" s="12">
        <f t="shared" si="11"/>
        <v>0.370257966616085</v>
      </c>
      <c r="G20" s="12">
        <f t="shared" si="11"/>
        <v>0.464354974540083</v>
      </c>
      <c r="H20" s="12">
        <f t="shared" si="11"/>
        <v>-0.0750677506775068</v>
      </c>
      <c r="I20" s="12">
        <f t="shared" si="11"/>
        <v>0.263907605219495</v>
      </c>
      <c r="J20" s="12">
        <f t="shared" si="11"/>
        <v>-0.0445557684390201</v>
      </c>
      <c r="K20" s="12">
        <f t="shared" si="11"/>
        <v>0.415000305122386</v>
      </c>
      <c r="L20" s="12">
        <f t="shared" si="11"/>
        <v>0.196424334091704</v>
      </c>
      <c r="M20" s="12">
        <f t="shared" si="11"/>
        <v>0.252625122646355</v>
      </c>
      <c r="N20" s="21" t="s">
        <v>33</v>
      </c>
      <c r="O20" s="21" t="s">
        <v>33</v>
      </c>
      <c r="P20" s="21" t="s">
        <v>33</v>
      </c>
      <c r="Q20" s="21" t="s">
        <v>33</v>
      </c>
    </row>
    <row r="21" ht="17.6" spans="1:17">
      <c r="A21" s="3" t="s">
        <v>80</v>
      </c>
      <c r="B21" s="4" t="s">
        <v>73</v>
      </c>
      <c r="C21" s="5">
        <v>5507638</v>
      </c>
      <c r="D21" s="5">
        <v>229951</v>
      </c>
      <c r="E21" s="5">
        <v>259183.12</v>
      </c>
      <c r="F21" s="5">
        <v>727</v>
      </c>
      <c r="G21" s="5">
        <v>771687.83</v>
      </c>
      <c r="H21" s="5">
        <v>2727</v>
      </c>
      <c r="I21" s="13">
        <f>G21/E21</f>
        <v>2.97738459973782</v>
      </c>
      <c r="J21" s="14">
        <f>D21/C21</f>
        <v>0.0417512915699979</v>
      </c>
      <c r="K21" s="14">
        <f>F21/D21</f>
        <v>0.00316154311135851</v>
      </c>
      <c r="L21" s="13">
        <f>E21/D21</f>
        <v>1.12712325669382</v>
      </c>
      <c r="M21" s="17">
        <f>E21/H21</f>
        <v>95.0433149981665</v>
      </c>
      <c r="N21" s="18">
        <f>E21/$E$24</f>
        <v>0.78535444017929</v>
      </c>
      <c r="O21" s="18">
        <f>G21/$G$24</f>
        <v>0.894666919655302</v>
      </c>
      <c r="P21" s="18">
        <f>E21/E16-1</f>
        <v>0.0980238181621917</v>
      </c>
      <c r="Q21" s="18">
        <f>I21/I16-1</f>
        <v>-0.261937540896316</v>
      </c>
    </row>
    <row r="22" ht="17.6" spans="1:17">
      <c r="A22" s="6"/>
      <c r="B22" s="4" t="s">
        <v>74</v>
      </c>
      <c r="C22" s="5">
        <v>914726</v>
      </c>
      <c r="D22" s="5">
        <v>8501</v>
      </c>
      <c r="E22" s="5">
        <v>27716.91</v>
      </c>
      <c r="F22" s="5">
        <v>24</v>
      </c>
      <c r="G22" s="5">
        <v>49296.41</v>
      </c>
      <c r="H22" s="5">
        <v>167</v>
      </c>
      <c r="I22" s="13">
        <f>G22/E22</f>
        <v>1.77856802940876</v>
      </c>
      <c r="J22" s="14">
        <f>D22/C22</f>
        <v>0.00929349335210763</v>
      </c>
      <c r="K22" s="14">
        <f>F22/D22</f>
        <v>0.0028231972709093</v>
      </c>
      <c r="L22" s="13">
        <f>E22/D22</f>
        <v>3.26042936125162</v>
      </c>
      <c r="M22" s="17">
        <f>E22/H22</f>
        <v>165.969520958084</v>
      </c>
      <c r="N22" s="18">
        <f>E22/$E$24</f>
        <v>0.0839854012736237</v>
      </c>
      <c r="O22" s="18">
        <f>G22/$G$24</f>
        <v>0.0571524722435558</v>
      </c>
      <c r="P22" s="18">
        <f>E22/E17-1</f>
        <v>-0.163738217260412</v>
      </c>
      <c r="Q22" s="18">
        <f>I22/I17-1</f>
        <v>-0.408866177979126</v>
      </c>
    </row>
    <row r="23" ht="17.6" spans="1:17">
      <c r="A23" s="6"/>
      <c r="B23" s="4" t="s">
        <v>75</v>
      </c>
      <c r="C23" s="5">
        <v>810739</v>
      </c>
      <c r="D23" s="5">
        <v>14810</v>
      </c>
      <c r="E23" s="5">
        <v>43120.54</v>
      </c>
      <c r="F23" s="5">
        <v>20</v>
      </c>
      <c r="G23" s="5">
        <v>41557.8</v>
      </c>
      <c r="H23" s="5">
        <v>504</v>
      </c>
      <c r="I23" s="13">
        <f>G23/E23</f>
        <v>0.963758802649503</v>
      </c>
      <c r="J23" s="14">
        <f>D23/C23</f>
        <v>0.0182672845391674</v>
      </c>
      <c r="K23" s="14">
        <f>F23/D23</f>
        <v>0.00135043889264011</v>
      </c>
      <c r="L23" s="13">
        <f>E23/D23</f>
        <v>2.91158271438217</v>
      </c>
      <c r="M23" s="17">
        <f>E23/H23</f>
        <v>85.556626984127</v>
      </c>
      <c r="N23" s="18">
        <f>E23/$E$24</f>
        <v>0.130660158547087</v>
      </c>
      <c r="O23" s="18">
        <f>G23/$G$24</f>
        <v>0.0481806081011425</v>
      </c>
      <c r="P23" s="18">
        <f>E23/E18-1</f>
        <v>0.0220484277076893</v>
      </c>
      <c r="Q23" s="18">
        <f>I23/I18-1</f>
        <v>-0.234076265043233</v>
      </c>
    </row>
    <row r="24" spans="1:17">
      <c r="A24" s="7"/>
      <c r="B24" s="8" t="s">
        <v>31</v>
      </c>
      <c r="C24" s="9">
        <f t="shared" ref="C24:H24" si="12">SUM(C21:C23)</f>
        <v>7233103</v>
      </c>
      <c r="D24" s="9">
        <f t="shared" si="12"/>
        <v>253262</v>
      </c>
      <c r="E24" s="9">
        <f t="shared" si="12"/>
        <v>330020.57</v>
      </c>
      <c r="F24" s="9">
        <f t="shared" si="12"/>
        <v>771</v>
      </c>
      <c r="G24" s="9">
        <f t="shared" si="12"/>
        <v>862542.04</v>
      </c>
      <c r="H24" s="9">
        <f t="shared" si="12"/>
        <v>3398</v>
      </c>
      <c r="I24" s="15">
        <f>G24/E24</f>
        <v>2.6136008431232</v>
      </c>
      <c r="J24" s="16">
        <f>D24/C24</f>
        <v>0.0350142946948218</v>
      </c>
      <c r="K24" s="16">
        <f>F24/D24</f>
        <v>0.00304427825729877</v>
      </c>
      <c r="L24" s="15">
        <f>E24/D24</f>
        <v>1.30307969612496</v>
      </c>
      <c r="M24" s="20">
        <f>E24/H24</f>
        <v>97.1220041200706</v>
      </c>
      <c r="N24" s="12">
        <f>E24/$E$24</f>
        <v>1</v>
      </c>
      <c r="O24" s="12">
        <f>G24/$G$24</f>
        <v>1</v>
      </c>
      <c r="P24" s="12">
        <f>E24/E19-1</f>
        <v>0.0598670669117569</v>
      </c>
      <c r="Q24" s="12">
        <f>I24/I19-1</f>
        <v>-0.263529026595848</v>
      </c>
    </row>
    <row r="25" hidden="1" spans="1:17">
      <c r="A25" s="10" t="s">
        <v>77</v>
      </c>
      <c r="B25" s="11"/>
      <c r="C25" s="12">
        <f>C24/C19-1</f>
        <v>0.279541635900671</v>
      </c>
      <c r="D25" s="12">
        <f>D24/D19-1</f>
        <v>0.102030337577345</v>
      </c>
      <c r="E25" s="12">
        <f>E24/E19-1</f>
        <v>0.0598670669117569</v>
      </c>
      <c r="F25" s="12">
        <f t="shared" ref="F25:M25" si="13">F24/F19-1</f>
        <v>-0.146179401993355</v>
      </c>
      <c r="G25" s="12">
        <f t="shared" si="13"/>
        <v>-0.219438669552495</v>
      </c>
      <c r="H25" s="12">
        <f t="shared" si="13"/>
        <v>-0.00439496044535603</v>
      </c>
      <c r="I25" s="12">
        <f t="shared" si="13"/>
        <v>-0.263529026595848</v>
      </c>
      <c r="J25" s="12">
        <f t="shared" si="13"/>
        <v>-0.138730380741675</v>
      </c>
      <c r="K25" s="12">
        <f t="shared" si="13"/>
        <v>-0.225229497870589</v>
      </c>
      <c r="L25" s="12">
        <f t="shared" si="13"/>
        <v>-0.0382596279139449</v>
      </c>
      <c r="M25" s="12">
        <f t="shared" si="13"/>
        <v>0.0645457031694603</v>
      </c>
      <c r="N25" s="21" t="s">
        <v>33</v>
      </c>
      <c r="O25" s="21" t="s">
        <v>33</v>
      </c>
      <c r="P25" s="21" t="s">
        <v>33</v>
      </c>
      <c r="Q25" s="21" t="s">
        <v>33</v>
      </c>
    </row>
    <row r="26" ht="17.6" spans="1:17">
      <c r="A26" s="3" t="s">
        <v>81</v>
      </c>
      <c r="B26" s="4" t="s">
        <v>73</v>
      </c>
      <c r="C26" s="5">
        <v>2932385</v>
      </c>
      <c r="D26" s="5">
        <v>116555</v>
      </c>
      <c r="E26" s="5">
        <v>145931.23</v>
      </c>
      <c r="F26" s="5">
        <v>476</v>
      </c>
      <c r="G26" s="5">
        <v>434074.07</v>
      </c>
      <c r="H26" s="5">
        <v>1779</v>
      </c>
      <c r="I26" s="13">
        <f>G26/E26</f>
        <v>2.97451114473578</v>
      </c>
      <c r="J26" s="14">
        <f>D26/C26</f>
        <v>0.0397475092799888</v>
      </c>
      <c r="K26" s="14">
        <f>F26/D26</f>
        <v>0.00408390888421775</v>
      </c>
      <c r="L26" s="13">
        <f>E26/D26</f>
        <v>1.25203749302904</v>
      </c>
      <c r="M26" s="17">
        <f>E26/H26</f>
        <v>82.0299213041034</v>
      </c>
      <c r="N26" s="18">
        <f>E26/$E$29</f>
        <v>0.730605206162805</v>
      </c>
      <c r="O26" s="18">
        <f>G26/$G$29</f>
        <v>0.870363371445736</v>
      </c>
      <c r="P26" s="18">
        <f>E26/E21-1</f>
        <v>-0.436957044116145</v>
      </c>
      <c r="Q26" s="18">
        <f>I26/I21-1</f>
        <v>-0.000965093660489136</v>
      </c>
    </row>
    <row r="27" ht="17.6" spans="1:17">
      <c r="A27" s="6"/>
      <c r="B27" s="4" t="s">
        <v>74</v>
      </c>
      <c r="C27" s="5">
        <v>477907</v>
      </c>
      <c r="D27" s="5">
        <v>4314</v>
      </c>
      <c r="E27" s="5">
        <v>13705.28</v>
      </c>
      <c r="F27" s="5">
        <v>14</v>
      </c>
      <c r="G27" s="5">
        <v>31067.34</v>
      </c>
      <c r="H27" s="5">
        <v>155</v>
      </c>
      <c r="I27" s="13">
        <f>G27/E27</f>
        <v>2.26681541712391</v>
      </c>
      <c r="J27" s="14">
        <f>D27/C27</f>
        <v>0.00902686087460531</v>
      </c>
      <c r="K27" s="14">
        <f>F27/D27</f>
        <v>0.00324524802967084</v>
      </c>
      <c r="L27" s="13">
        <f>E27/D27</f>
        <v>3.17693092257765</v>
      </c>
      <c r="M27" s="17">
        <f>E27/H27</f>
        <v>88.4211612903226</v>
      </c>
      <c r="N27" s="18">
        <f>E27/$E$29</f>
        <v>0.0686155315755166</v>
      </c>
      <c r="O27" s="18">
        <f>G27/$G$29</f>
        <v>0.0622932274767092</v>
      </c>
      <c r="P27" s="18">
        <f>E27/E22-1</f>
        <v>-0.505526409689969</v>
      </c>
      <c r="Q27" s="18">
        <f>I27/I22-1</f>
        <v>0.274517128185113</v>
      </c>
    </row>
    <row r="28" ht="17.6" spans="1:17">
      <c r="A28" s="6"/>
      <c r="B28" s="4" t="s">
        <v>75</v>
      </c>
      <c r="C28" s="5">
        <v>788489</v>
      </c>
      <c r="D28" s="5">
        <v>16388</v>
      </c>
      <c r="E28" s="5">
        <v>40103.69</v>
      </c>
      <c r="F28" s="5">
        <v>14</v>
      </c>
      <c r="G28" s="5">
        <v>33586</v>
      </c>
      <c r="H28" s="5">
        <v>480</v>
      </c>
      <c r="I28" s="13">
        <f>G28/E28</f>
        <v>0.837479044945739</v>
      </c>
      <c r="J28" s="14">
        <f>D28/C28</f>
        <v>0.0207840565943215</v>
      </c>
      <c r="K28" s="14">
        <f>F28/D28</f>
        <v>0.000854283622162558</v>
      </c>
      <c r="L28" s="13">
        <f>E28/D28</f>
        <v>2.44713753966317</v>
      </c>
      <c r="M28" s="17">
        <f>E28/H28</f>
        <v>83.5493541666667</v>
      </c>
      <c r="N28" s="18">
        <f>E28/$E$29</f>
        <v>0.200779262261678</v>
      </c>
      <c r="O28" s="18">
        <f>G28/$G$29</f>
        <v>0.0673434010775546</v>
      </c>
      <c r="P28" s="18">
        <f>E28/E23-1</f>
        <v>-0.0699631776410963</v>
      </c>
      <c r="Q28" s="18">
        <f>I28/I23-1</f>
        <v>-0.13102838319775</v>
      </c>
    </row>
    <row r="29" spans="1:17">
      <c r="A29" s="7"/>
      <c r="B29" s="8" t="s">
        <v>31</v>
      </c>
      <c r="C29" s="9">
        <f t="shared" ref="C29:H29" si="14">SUM(C26:C28)</f>
        <v>4198781</v>
      </c>
      <c r="D29" s="9">
        <f t="shared" si="14"/>
        <v>137257</v>
      </c>
      <c r="E29" s="9">
        <f t="shared" si="14"/>
        <v>199740.2</v>
      </c>
      <c r="F29" s="9">
        <f t="shared" si="14"/>
        <v>504</v>
      </c>
      <c r="G29" s="9">
        <f t="shared" si="14"/>
        <v>498727.41</v>
      </c>
      <c r="H29" s="9">
        <f t="shared" si="14"/>
        <v>2414</v>
      </c>
      <c r="I29" s="15">
        <f>G29/E29</f>
        <v>2.4968804977666</v>
      </c>
      <c r="J29" s="16">
        <f>D29/C29</f>
        <v>0.0326897258990169</v>
      </c>
      <c r="K29" s="16">
        <f>F29/D29</f>
        <v>0.0036719438717151</v>
      </c>
      <c r="L29" s="15">
        <f>E29/D29</f>
        <v>1.4552277843753</v>
      </c>
      <c r="M29" s="20">
        <f>E29/H29</f>
        <v>82.7424192212096</v>
      </c>
      <c r="N29" s="12">
        <f>E29/$E$29</f>
        <v>1</v>
      </c>
      <c r="O29" s="12">
        <f>G29/$G$29</f>
        <v>1</v>
      </c>
      <c r="P29" s="12">
        <f>E29/E24-1</f>
        <v>-0.394764393019502</v>
      </c>
      <c r="Q29" s="12">
        <f>I29/I24-1</f>
        <v>-0.0446588260268259</v>
      </c>
    </row>
    <row r="30" hidden="1" spans="1:17">
      <c r="A30" s="10" t="s">
        <v>77</v>
      </c>
      <c r="B30" s="11"/>
      <c r="C30" s="12">
        <f>C29/C24-1</f>
        <v>-0.419504879164585</v>
      </c>
      <c r="D30" s="12">
        <f>D29/D24-1</f>
        <v>-0.45804344907645</v>
      </c>
      <c r="E30" s="12">
        <f>E29/E24-1</f>
        <v>-0.394764393019502</v>
      </c>
      <c r="F30" s="12">
        <f t="shared" ref="F30:M30" si="15">F29/F24-1</f>
        <v>-0.346303501945525</v>
      </c>
      <c r="G30" s="12">
        <f t="shared" si="15"/>
        <v>-0.421793504696884</v>
      </c>
      <c r="H30" s="12">
        <f t="shared" si="15"/>
        <v>-0.289582107121836</v>
      </c>
      <c r="I30" s="12">
        <f t="shared" si="15"/>
        <v>-0.0446588260268259</v>
      </c>
      <c r="J30" s="12">
        <f t="shared" si="15"/>
        <v>-0.0663891366673376</v>
      </c>
      <c r="K30" s="12">
        <f t="shared" si="15"/>
        <v>0.206178792267588</v>
      </c>
      <c r="L30" s="12">
        <f t="shared" si="15"/>
        <v>0.116760385955507</v>
      </c>
      <c r="M30" s="12">
        <f t="shared" si="15"/>
        <v>-0.148056921077161</v>
      </c>
      <c r="N30" s="21" t="s">
        <v>33</v>
      </c>
      <c r="O30" s="21" t="s">
        <v>33</v>
      </c>
      <c r="P30" s="21" t="s">
        <v>33</v>
      </c>
      <c r="Q30" s="21" t="s">
        <v>33</v>
      </c>
    </row>
    <row r="31" ht="17.6" spans="1:17">
      <c r="A31" s="3" t="s">
        <v>82</v>
      </c>
      <c r="B31" s="4" t="s">
        <v>73</v>
      </c>
      <c r="C31" s="5">
        <v>1556460</v>
      </c>
      <c r="D31" s="5">
        <v>55761</v>
      </c>
      <c r="E31" s="5">
        <v>104814.4</v>
      </c>
      <c r="F31" s="5">
        <v>260</v>
      </c>
      <c r="G31" s="5">
        <v>399060.16</v>
      </c>
      <c r="H31" s="5">
        <v>1807</v>
      </c>
      <c r="I31" s="13">
        <f>G31/E31</f>
        <v>3.80730281335389</v>
      </c>
      <c r="J31" s="14">
        <f>D31/C31</f>
        <v>0.0358255271577811</v>
      </c>
      <c r="K31" s="14">
        <f>F31/D31</f>
        <v>0.00466275712415488</v>
      </c>
      <c r="L31" s="13">
        <f>E31/D31</f>
        <v>1.8797080396693</v>
      </c>
      <c r="M31" s="17">
        <f>E31/H31</f>
        <v>58.0046485888212</v>
      </c>
      <c r="N31" s="18">
        <f>E31/$E$34</f>
        <v>0.668199276314653</v>
      </c>
      <c r="O31" s="18">
        <f>G31/$G$34</f>
        <v>0.839336863148731</v>
      </c>
      <c r="P31" s="18">
        <f>E31/E26-1</f>
        <v>-0.281754837535461</v>
      </c>
      <c r="Q31" s="18">
        <f>I31/I26-1</f>
        <v>0.279975978604743</v>
      </c>
    </row>
    <row r="32" ht="17.6" spans="1:17">
      <c r="A32" s="6"/>
      <c r="B32" s="4" t="s">
        <v>74</v>
      </c>
      <c r="C32" s="5">
        <v>88129</v>
      </c>
      <c r="D32" s="5">
        <v>1905</v>
      </c>
      <c r="E32" s="5">
        <v>8915.4</v>
      </c>
      <c r="F32" s="5">
        <v>9</v>
      </c>
      <c r="G32" s="5">
        <v>18791</v>
      </c>
      <c r="H32" s="5">
        <v>128</v>
      </c>
      <c r="I32" s="13">
        <f>G32/E32</f>
        <v>2.10770128092963</v>
      </c>
      <c r="J32" s="14">
        <f>D32/C32</f>
        <v>0.0216160401230015</v>
      </c>
      <c r="K32" s="14">
        <f>F32/D32</f>
        <v>0.0047244094488189</v>
      </c>
      <c r="L32" s="13">
        <f>E32/D32</f>
        <v>4.68</v>
      </c>
      <c r="M32" s="17">
        <f>E32/H32</f>
        <v>69.6515625</v>
      </c>
      <c r="N32" s="18">
        <f>E32/$E$34</f>
        <v>0.0568363109272739</v>
      </c>
      <c r="O32" s="18">
        <f>G32/$G$34</f>
        <v>0.0395228102836119</v>
      </c>
      <c r="P32" s="18">
        <f>E32/E27-1</f>
        <v>-0.349491582806043</v>
      </c>
      <c r="Q32" s="18">
        <f>I32/I27-1</f>
        <v>-0.0701928066097964</v>
      </c>
    </row>
    <row r="33" ht="17.6" spans="1:17">
      <c r="A33" s="6"/>
      <c r="B33" s="4" t="s">
        <v>75</v>
      </c>
      <c r="C33" s="5">
        <v>670721</v>
      </c>
      <c r="D33" s="5">
        <v>18071</v>
      </c>
      <c r="E33" s="5">
        <v>43131.19</v>
      </c>
      <c r="F33" s="5">
        <v>26</v>
      </c>
      <c r="G33" s="5">
        <v>57595.8</v>
      </c>
      <c r="H33" s="5">
        <v>715</v>
      </c>
      <c r="I33" s="13">
        <f>G33/E33</f>
        <v>1.33536310961974</v>
      </c>
      <c r="J33" s="14">
        <f>D33/C33</f>
        <v>0.0269426482844581</v>
      </c>
      <c r="K33" s="14">
        <f>F33/D33</f>
        <v>0.00143876929887665</v>
      </c>
      <c r="L33" s="13">
        <f>E33/D33</f>
        <v>2.38676276907753</v>
      </c>
      <c r="M33" s="17">
        <f>E33/H33</f>
        <v>60.3233426573427</v>
      </c>
      <c r="N33" s="18">
        <f>E33/$E$34</f>
        <v>0.274964412758073</v>
      </c>
      <c r="O33" s="18">
        <f>G33/$G$34</f>
        <v>0.121140326567658</v>
      </c>
      <c r="P33" s="18">
        <f>E33/E28-1</f>
        <v>0.0754918063649503</v>
      </c>
      <c r="Q33" s="18">
        <f>I33/I28-1</f>
        <v>0.594503310475383</v>
      </c>
    </row>
    <row r="34" spans="1:17">
      <c r="A34" s="7"/>
      <c r="B34" s="8" t="s">
        <v>31</v>
      </c>
      <c r="C34" s="9">
        <f t="shared" ref="C34:H34" si="16">SUM(C31:C33)</f>
        <v>2315310</v>
      </c>
      <c r="D34" s="9">
        <f t="shared" si="16"/>
        <v>75737</v>
      </c>
      <c r="E34" s="9">
        <f t="shared" si="16"/>
        <v>156860.99</v>
      </c>
      <c r="F34" s="9">
        <f t="shared" si="16"/>
        <v>295</v>
      </c>
      <c r="G34" s="9">
        <f t="shared" si="16"/>
        <v>475446.96</v>
      </c>
      <c r="H34" s="9">
        <f t="shared" si="16"/>
        <v>2650</v>
      </c>
      <c r="I34" s="15">
        <f>G34/E34</f>
        <v>3.03100828319393</v>
      </c>
      <c r="J34" s="16">
        <f>D34/C34</f>
        <v>0.0327113863802255</v>
      </c>
      <c r="K34" s="16">
        <f>F34/D34</f>
        <v>0.00389505789772502</v>
      </c>
      <c r="L34" s="15">
        <f>E34/D34</f>
        <v>2.07112758625243</v>
      </c>
      <c r="M34" s="20">
        <f>E34/H34</f>
        <v>59.1928264150943</v>
      </c>
      <c r="N34" s="12">
        <f>E34/$E$34</f>
        <v>1</v>
      </c>
      <c r="O34" s="12">
        <f>G34/$G$34</f>
        <v>1</v>
      </c>
      <c r="P34" s="12">
        <f>E34/E29-1</f>
        <v>-0.214674912711612</v>
      </c>
      <c r="Q34" s="12">
        <f>I34/I29-1</f>
        <v>0.213918041293964</v>
      </c>
    </row>
    <row r="35" hidden="1" spans="1:17">
      <c r="A35" s="10" t="s">
        <v>77</v>
      </c>
      <c r="B35" s="11"/>
      <c r="C35" s="12">
        <f>C34/C29-1</f>
        <v>-0.448575669938489</v>
      </c>
      <c r="D35" s="12">
        <f>D34/D29-1</f>
        <v>-0.448210291642685</v>
      </c>
      <c r="E35" s="12">
        <f>E34/E29-1</f>
        <v>-0.214674912711612</v>
      </c>
      <c r="F35" s="12">
        <f t="shared" ref="F35:M35" si="17">F34/F29-1</f>
        <v>-0.41468253968254</v>
      </c>
      <c r="G35" s="12">
        <f t="shared" si="17"/>
        <v>-0.046679708259869</v>
      </c>
      <c r="H35" s="12">
        <f t="shared" si="17"/>
        <v>0.0977630488815244</v>
      </c>
      <c r="I35" s="12">
        <f t="shared" si="17"/>
        <v>0.213918041293964</v>
      </c>
      <c r="J35" s="12">
        <f t="shared" si="17"/>
        <v>0.000662608223622518</v>
      </c>
      <c r="K35" s="12">
        <f t="shared" si="17"/>
        <v>0.0607618291032608</v>
      </c>
      <c r="L35" s="12">
        <f t="shared" si="17"/>
        <v>0.423232574645711</v>
      </c>
      <c r="M35" s="12">
        <f t="shared" si="17"/>
        <v>-0.28461329784371</v>
      </c>
      <c r="N35" s="21" t="s">
        <v>33</v>
      </c>
      <c r="O35" s="21" t="s">
        <v>33</v>
      </c>
      <c r="P35" s="21" t="s">
        <v>33</v>
      </c>
      <c r="Q35" s="21" t="s">
        <v>33</v>
      </c>
    </row>
    <row r="36" ht="17.6" spans="1:17">
      <c r="A36" s="3" t="s">
        <v>83</v>
      </c>
      <c r="B36" s="4" t="s">
        <v>73</v>
      </c>
      <c r="C36" s="5">
        <v>1450890</v>
      </c>
      <c r="D36" s="5">
        <v>75319</v>
      </c>
      <c r="E36" s="5">
        <v>96886.2</v>
      </c>
      <c r="F36" s="5">
        <v>225</v>
      </c>
      <c r="G36" s="5">
        <v>326925.1</v>
      </c>
      <c r="H36" s="5">
        <v>1789</v>
      </c>
      <c r="I36" s="13">
        <f>G36/E36</f>
        <v>3.37432059467705</v>
      </c>
      <c r="J36" s="14">
        <f>D36/C36</f>
        <v>0.0519122745349406</v>
      </c>
      <c r="K36" s="14">
        <f>F36/D36</f>
        <v>0.00298729404267184</v>
      </c>
      <c r="L36" s="13">
        <f>E36/D36</f>
        <v>1.28634474700939</v>
      </c>
      <c r="M36" s="17">
        <f>E36/H36</f>
        <v>54.1566238121856</v>
      </c>
      <c r="N36" s="18">
        <f>E36/$E$39</f>
        <v>0.829932680217198</v>
      </c>
      <c r="O36" s="18">
        <f>G36/$G$39</f>
        <v>0.865293261341379</v>
      </c>
      <c r="P36" s="18">
        <f>E36/E31-1</f>
        <v>-0.0756403700254926</v>
      </c>
      <c r="Q36" s="18">
        <f>I36/I31-1</f>
        <v>-0.113724134880519</v>
      </c>
    </row>
    <row r="37" ht="17.6" spans="1:17">
      <c r="A37" s="6"/>
      <c r="B37" s="4" t="s">
        <v>74</v>
      </c>
      <c r="C37" s="5">
        <v>8367</v>
      </c>
      <c r="D37" s="5">
        <v>262</v>
      </c>
      <c r="E37" s="5">
        <v>1329.67</v>
      </c>
      <c r="F37" s="5">
        <v>0</v>
      </c>
      <c r="G37" s="5">
        <v>0</v>
      </c>
      <c r="H37" s="5">
        <v>8</v>
      </c>
      <c r="I37" s="13">
        <f>G37/E37</f>
        <v>0</v>
      </c>
      <c r="J37" s="14">
        <f>D37/C37</f>
        <v>0.0313134934863153</v>
      </c>
      <c r="K37" s="14">
        <f>F37/D37</f>
        <v>0</v>
      </c>
      <c r="L37" s="13">
        <f>E37/D37</f>
        <v>5.07507633587786</v>
      </c>
      <c r="M37" s="17">
        <f>E37/H37</f>
        <v>166.20875</v>
      </c>
      <c r="N37" s="18">
        <f>E37/$E$39</f>
        <v>0.0113900285789349</v>
      </c>
      <c r="O37" s="18">
        <f>G37/$G$39</f>
        <v>0</v>
      </c>
      <c r="P37" s="18">
        <f>E37/E32-1</f>
        <v>-0.850856944164031</v>
      </c>
      <c r="Q37" s="18">
        <f>I37/I32-1</f>
        <v>-1</v>
      </c>
    </row>
    <row r="38" ht="17.6" spans="1:17">
      <c r="A38" s="6"/>
      <c r="B38" s="4" t="s">
        <v>75</v>
      </c>
      <c r="C38" s="5">
        <v>315671</v>
      </c>
      <c r="D38" s="5">
        <v>6244</v>
      </c>
      <c r="E38" s="5">
        <v>18523.96</v>
      </c>
      <c r="F38" s="5">
        <v>16</v>
      </c>
      <c r="G38" s="5">
        <v>50894.9</v>
      </c>
      <c r="H38" s="5">
        <v>231</v>
      </c>
      <c r="I38" s="13">
        <f>G38/E38</f>
        <v>2.74751726952552</v>
      </c>
      <c r="J38" s="14">
        <f>D38/C38</f>
        <v>0.019780087496159</v>
      </c>
      <c r="K38" s="14">
        <f>F38/D38</f>
        <v>0.0025624599615631</v>
      </c>
      <c r="L38" s="13">
        <f>E38/D38</f>
        <v>2.96668161434978</v>
      </c>
      <c r="M38" s="17">
        <f>E38/H38</f>
        <v>80.190303030303</v>
      </c>
      <c r="N38" s="18">
        <f>E38/$E$39</f>
        <v>0.158677291203868</v>
      </c>
      <c r="O38" s="18">
        <f>G38/$G$39</f>
        <v>0.134706738658621</v>
      </c>
      <c r="P38" s="18">
        <f>E38/E33-1</f>
        <v>-0.570520544413451</v>
      </c>
      <c r="Q38" s="18">
        <f>I38/I33-1</f>
        <v>1.05750574486658</v>
      </c>
    </row>
    <row r="39" spans="1:17">
      <c r="A39" s="7"/>
      <c r="B39" s="8" t="s">
        <v>31</v>
      </c>
      <c r="C39" s="9">
        <f t="shared" ref="C39:H39" si="18">SUM(C36:C38)</f>
        <v>1774928</v>
      </c>
      <c r="D39" s="9">
        <f t="shared" si="18"/>
        <v>81825</v>
      </c>
      <c r="E39" s="9">
        <f t="shared" si="18"/>
        <v>116739.83</v>
      </c>
      <c r="F39" s="9">
        <f t="shared" si="18"/>
        <v>241</v>
      </c>
      <c r="G39" s="9">
        <f t="shared" si="18"/>
        <v>377820</v>
      </c>
      <c r="H39" s="9">
        <f t="shared" si="18"/>
        <v>2028</v>
      </c>
      <c r="I39" s="15">
        <f>G39/E39</f>
        <v>3.23642753291657</v>
      </c>
      <c r="J39" s="16">
        <f>D39/C39</f>
        <v>0.0461004615398484</v>
      </c>
      <c r="K39" s="16">
        <f>F39/D39</f>
        <v>0.00294531011304613</v>
      </c>
      <c r="L39" s="15">
        <f>E39/D39</f>
        <v>1.42670125267339</v>
      </c>
      <c r="M39" s="20">
        <f>E39/H39</f>
        <v>57.5640187376726</v>
      </c>
      <c r="N39" s="12">
        <f>E39/$E$39</f>
        <v>1</v>
      </c>
      <c r="O39" s="12">
        <f>G39/$G$39</f>
        <v>1</v>
      </c>
      <c r="P39" s="12">
        <f>E39/E34-1</f>
        <v>-0.255775256805405</v>
      </c>
      <c r="Q39" s="12">
        <f>I39/I34-1</f>
        <v>0.0677725794619679</v>
      </c>
    </row>
    <row r="40" spans="1:17">
      <c r="A40" s="10" t="s">
        <v>77</v>
      </c>
      <c r="B40" s="11"/>
      <c r="C40" s="12">
        <f>C39/C34-1</f>
        <v>-0.233395096121038</v>
      </c>
      <c r="D40" s="12">
        <f>D39/D34-1</f>
        <v>0.0803834321401693</v>
      </c>
      <c r="E40" s="12">
        <f>E39/E34-1</f>
        <v>-0.255775256805405</v>
      </c>
      <c r="F40" s="12">
        <f t="shared" ref="F40:M40" si="19">F39/F34-1</f>
        <v>-0.183050847457627</v>
      </c>
      <c r="G40" s="12">
        <f t="shared" si="19"/>
        <v>-0.205337226259686</v>
      </c>
      <c r="H40" s="12">
        <f t="shared" si="19"/>
        <v>-0.234716981132076</v>
      </c>
      <c r="I40" s="12">
        <f t="shared" si="19"/>
        <v>0.0677725794619679</v>
      </c>
      <c r="J40" s="12">
        <f t="shared" si="19"/>
        <v>0.409309315233325</v>
      </c>
      <c r="K40" s="12">
        <f t="shared" si="19"/>
        <v>-0.243834060909237</v>
      </c>
      <c r="L40" s="12">
        <f t="shared" si="19"/>
        <v>-0.311147578669978</v>
      </c>
      <c r="M40" s="12">
        <f t="shared" si="19"/>
        <v>-0.0275169775810268</v>
      </c>
      <c r="N40" s="21" t="s">
        <v>33</v>
      </c>
      <c r="O40" s="21" t="s">
        <v>33</v>
      </c>
      <c r="P40" s="21" t="s">
        <v>33</v>
      </c>
      <c r="Q40" s="21" t="s">
        <v>33</v>
      </c>
    </row>
  </sheetData>
  <sheetProtection formatCells="0" insertHyperlinks="0" autoFilter="0"/>
  <mergeCells count="15">
    <mergeCell ref="A10:B10"/>
    <mergeCell ref="A15:B15"/>
    <mergeCell ref="A20:B20"/>
    <mergeCell ref="A25:B25"/>
    <mergeCell ref="A30:B30"/>
    <mergeCell ref="A35:B35"/>
    <mergeCell ref="A40:B40"/>
    <mergeCell ref="A2:A5"/>
    <mergeCell ref="A6:A9"/>
    <mergeCell ref="A11:A14"/>
    <mergeCell ref="A16:A19"/>
    <mergeCell ref="A21:A24"/>
    <mergeCell ref="A26:A29"/>
    <mergeCell ref="A31:A34"/>
    <mergeCell ref="A36:A39"/>
  </mergeCells>
  <conditionalFormatting sqref="P6:Q9 C10:M10">
    <cfRule type="cellIs" dxfId="0" priority="13" operator="lessThan">
      <formula>0</formula>
    </cfRule>
    <cfRule type="cellIs" dxfId="1" priority="14" operator="greaterThanOrEqual">
      <formula>0</formula>
    </cfRule>
  </conditionalFormatting>
  <conditionalFormatting sqref="P11:Q14 C15:M15">
    <cfRule type="cellIs" dxfId="0" priority="11" operator="lessThan">
      <formula>0</formula>
    </cfRule>
    <cfRule type="cellIs" dxfId="1" priority="12" operator="greaterThanOrEqual">
      <formula>0</formula>
    </cfRule>
  </conditionalFormatting>
  <conditionalFormatting sqref="P16:Q19 C20:M20">
    <cfRule type="cellIs" dxfId="0" priority="9" operator="lessThan">
      <formula>0</formula>
    </cfRule>
    <cfRule type="cellIs" dxfId="1" priority="10" operator="greaterThanOrEqual">
      <formula>0</formula>
    </cfRule>
  </conditionalFormatting>
  <conditionalFormatting sqref="P21:Q24 C25:M25">
    <cfRule type="cellIs" dxfId="0" priority="7" operator="lessThan">
      <formula>0</formula>
    </cfRule>
    <cfRule type="cellIs" dxfId="1" priority="8" operator="greaterThanOrEqual">
      <formula>0</formula>
    </cfRule>
  </conditionalFormatting>
  <conditionalFormatting sqref="P26:Q29 C30:M30">
    <cfRule type="cellIs" dxfId="0" priority="5" operator="lessThan">
      <formula>0</formula>
    </cfRule>
    <cfRule type="cellIs" dxfId="1" priority="6" operator="greaterThanOrEqual">
      <formula>0</formula>
    </cfRule>
  </conditionalFormatting>
  <conditionalFormatting sqref="P31:Q34 C35:M35">
    <cfRule type="cellIs" dxfId="0" priority="3" operator="lessThan">
      <formula>0</formula>
    </cfRule>
    <cfRule type="cellIs" dxfId="1" priority="4" operator="greaterThanOrEqual">
      <formula>0</formula>
    </cfRule>
  </conditionalFormatting>
  <conditionalFormatting sqref="P36:Q39 C40:M40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WPS Office WWO_base_provider_20231101092332-13a21f3009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双周分资源位</vt:lpstr>
      <vt:lpstr>双周分品类</vt:lpstr>
      <vt:lpstr>家庭教育</vt:lpstr>
      <vt:lpstr>闺蜜机</vt:lpstr>
      <vt:lpstr>智能屏</vt:lpstr>
      <vt:lpstr>无屏音箱</vt:lpstr>
      <vt:lpstr>健身镜</vt:lpstr>
      <vt:lpstr>IPC</vt:lpstr>
      <vt:lpstr>平板型号</vt:lpstr>
      <vt:lpstr>平板电脑型号</vt:lpstr>
      <vt:lpstr>有屏型号</vt:lpstr>
      <vt:lpstr>无屏型号</vt:lpstr>
      <vt:lpstr>健身镜型号</vt:lpstr>
      <vt:lpstr>IPC型号</vt:lpstr>
      <vt:lpstr>自由屏分链接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showx数据平台</dc:creator>
  <cp:lastModifiedBy>坤</cp:lastModifiedBy>
  <dcterms:created xsi:type="dcterms:W3CDTF">2023-03-26T06:50:00Z</dcterms:created>
  <dcterms:modified xsi:type="dcterms:W3CDTF">2025-11-16T21:15:30Z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879AB2614C9FFB204BB7E868E3B96208_43</vt:lpwstr>
  </property>
  <property fmtid="{D5CDD505-2E9C-101B-9397-08002B2CF9AE}" pid="4" name="KSOReadingLayout">
    <vt:bool>true</vt:bool>
  </property>
</Properties>
</file>